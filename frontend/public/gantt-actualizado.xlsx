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379" documentId="11_0C46A3A968C7F55B3576D76FB83EDEDC7400DDF1" xr6:coauthVersionLast="47" xr6:coauthVersionMax="47" xr10:uidLastSave="{F8B6513F-3FE8-4011-9F94-D73841326F99}"/>
  <bookViews>
    <workbookView xWindow="0" yWindow="0" windowWidth="16384" windowHeight="8192" tabRatio="500" firstSheet="3" activeTab="3" xr2:uid="{00000000-000D-0000-FFFF-FFFF00000000}"/>
  </bookViews>
  <sheets>
    <sheet name="Resumen Ejecutivo" sheetId="1" r:id="rId1"/>
    <sheet name="Gantt Logística" sheetId="2" r:id="rId2"/>
    <sheet name="Gantt Capital" sheetId="3" r:id="rId3"/>
    <sheet name="Gantt Interior" sheetId="4" r:id="rId4"/>
  </sheets>
  <definedNames>
    <definedName name="_xlnm._FilterDatabase" localSheetId="2" hidden="1">'Gantt Capital'!$A$4:$AJ$4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4" i="4" l="1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6" i="4"/>
  <c r="L7" i="4"/>
  <c r="L8" i="4"/>
  <c r="L9" i="4"/>
  <c r="L10" i="4"/>
  <c r="L11" i="4"/>
  <c r="L12" i="4"/>
  <c r="L13" i="4"/>
  <c r="L5" i="4"/>
  <c r="N2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5" i="3"/>
  <c r="K6" i="3"/>
  <c r="K7" i="3"/>
  <c r="K8" i="3"/>
  <c r="K9" i="3"/>
  <c r="K10" i="3"/>
  <c r="K11" i="3"/>
  <c r="M19" i="4"/>
  <c r="M18" i="4"/>
  <c r="I74" i="4"/>
  <c r="D29" i="3"/>
  <c r="I75" i="4"/>
  <c r="L26" i="3"/>
  <c r="L27" i="3"/>
  <c r="H27" i="3"/>
  <c r="K79" i="4"/>
  <c r="G79" i="4"/>
  <c r="F79" i="4"/>
  <c r="D79" i="4"/>
  <c r="M77" i="4"/>
  <c r="I77" i="4"/>
  <c r="E77" i="4"/>
  <c r="M76" i="4"/>
  <c r="I76" i="4"/>
  <c r="E76" i="4"/>
  <c r="M75" i="4"/>
  <c r="E75" i="4"/>
  <c r="M74" i="4"/>
  <c r="E74" i="4"/>
  <c r="M73" i="4"/>
  <c r="I73" i="4"/>
  <c r="E73" i="4"/>
  <c r="M72" i="4"/>
  <c r="I72" i="4"/>
  <c r="E72" i="4"/>
  <c r="M71" i="4"/>
  <c r="I71" i="4"/>
  <c r="E71" i="4"/>
  <c r="M70" i="4"/>
  <c r="I70" i="4"/>
  <c r="E70" i="4"/>
  <c r="M69" i="4"/>
  <c r="I69" i="4"/>
  <c r="E69" i="4"/>
  <c r="M68" i="4"/>
  <c r="I68" i="4"/>
  <c r="E68" i="4"/>
  <c r="M67" i="4"/>
  <c r="I67" i="4"/>
  <c r="E67" i="4"/>
  <c r="M66" i="4"/>
  <c r="I66" i="4"/>
  <c r="E66" i="4"/>
  <c r="M65" i="4"/>
  <c r="I65" i="4"/>
  <c r="E65" i="4"/>
  <c r="M64" i="4"/>
  <c r="I64" i="4"/>
  <c r="E64" i="4"/>
  <c r="M63" i="4"/>
  <c r="I63" i="4"/>
  <c r="E63" i="4"/>
  <c r="M62" i="4"/>
  <c r="I62" i="4"/>
  <c r="E62" i="4"/>
  <c r="M61" i="4"/>
  <c r="I61" i="4"/>
  <c r="E61" i="4"/>
  <c r="M60" i="4"/>
  <c r="I60" i="4"/>
  <c r="E60" i="4"/>
  <c r="M59" i="4"/>
  <c r="I59" i="4"/>
  <c r="E59" i="4"/>
  <c r="M58" i="4"/>
  <c r="I58" i="4"/>
  <c r="E58" i="4"/>
  <c r="M57" i="4"/>
  <c r="I57" i="4"/>
  <c r="E57" i="4"/>
  <c r="M56" i="4"/>
  <c r="I56" i="4"/>
  <c r="E56" i="4"/>
  <c r="M55" i="4"/>
  <c r="I55" i="4"/>
  <c r="E55" i="4"/>
  <c r="M54" i="4"/>
  <c r="I54" i="4"/>
  <c r="E54" i="4"/>
  <c r="M53" i="4"/>
  <c r="I53" i="4"/>
  <c r="E53" i="4"/>
  <c r="M52" i="4"/>
  <c r="I52" i="4"/>
  <c r="E52" i="4"/>
  <c r="M51" i="4"/>
  <c r="I51" i="4"/>
  <c r="E51" i="4"/>
  <c r="M50" i="4"/>
  <c r="I50" i="4"/>
  <c r="E50" i="4"/>
  <c r="M49" i="4"/>
  <c r="I49" i="4"/>
  <c r="E49" i="4"/>
  <c r="M48" i="4"/>
  <c r="I48" i="4"/>
  <c r="E48" i="4"/>
  <c r="M47" i="4"/>
  <c r="I47" i="4"/>
  <c r="E47" i="4"/>
  <c r="M46" i="4"/>
  <c r="I46" i="4"/>
  <c r="E46" i="4"/>
  <c r="M45" i="4"/>
  <c r="I45" i="4"/>
  <c r="E45" i="4"/>
  <c r="M44" i="4"/>
  <c r="I44" i="4"/>
  <c r="E44" i="4"/>
  <c r="M43" i="4"/>
  <c r="I43" i="4"/>
  <c r="E43" i="4"/>
  <c r="M42" i="4"/>
  <c r="I42" i="4"/>
  <c r="E42" i="4"/>
  <c r="M41" i="4"/>
  <c r="I41" i="4"/>
  <c r="E41" i="4"/>
  <c r="M40" i="4"/>
  <c r="I40" i="4"/>
  <c r="E40" i="4"/>
  <c r="M39" i="4"/>
  <c r="I39" i="4"/>
  <c r="E39" i="4"/>
  <c r="M38" i="4"/>
  <c r="I38" i="4"/>
  <c r="E38" i="4"/>
  <c r="M37" i="4"/>
  <c r="I37" i="4"/>
  <c r="E37" i="4"/>
  <c r="M36" i="4"/>
  <c r="I36" i="4"/>
  <c r="E36" i="4"/>
  <c r="M35" i="4"/>
  <c r="I35" i="4"/>
  <c r="E35" i="4"/>
  <c r="M34" i="4"/>
  <c r="I34" i="4"/>
  <c r="E34" i="4"/>
  <c r="M33" i="4"/>
  <c r="I33" i="4"/>
  <c r="E33" i="4"/>
  <c r="M32" i="4"/>
  <c r="I32" i="4"/>
  <c r="E32" i="4"/>
  <c r="M31" i="4"/>
  <c r="I31" i="4"/>
  <c r="E31" i="4"/>
  <c r="M30" i="4"/>
  <c r="I30" i="4"/>
  <c r="E30" i="4"/>
  <c r="M29" i="4"/>
  <c r="I29" i="4"/>
  <c r="E29" i="4"/>
  <c r="M28" i="4"/>
  <c r="I28" i="4"/>
  <c r="E28" i="4"/>
  <c r="M27" i="4"/>
  <c r="I27" i="4"/>
  <c r="E27" i="4"/>
  <c r="M26" i="4"/>
  <c r="I26" i="4"/>
  <c r="E26" i="4"/>
  <c r="M25" i="4"/>
  <c r="I25" i="4"/>
  <c r="E25" i="4"/>
  <c r="M24" i="4"/>
  <c r="I24" i="4"/>
  <c r="E24" i="4"/>
  <c r="M23" i="4"/>
  <c r="I23" i="4"/>
  <c r="E23" i="4"/>
  <c r="M22" i="4"/>
  <c r="I22" i="4"/>
  <c r="E22" i="4"/>
  <c r="M21" i="4"/>
  <c r="I21" i="4"/>
  <c r="E21" i="4"/>
  <c r="M20" i="4"/>
  <c r="I20" i="4"/>
  <c r="E20" i="4"/>
  <c r="I18" i="4"/>
  <c r="E18" i="4"/>
  <c r="M17" i="4"/>
  <c r="I17" i="4"/>
  <c r="E17" i="4"/>
  <c r="M16" i="4"/>
  <c r="I16" i="4"/>
  <c r="E16" i="4"/>
  <c r="M15" i="4"/>
  <c r="I15" i="4"/>
  <c r="E15" i="4"/>
  <c r="M14" i="4"/>
  <c r="I14" i="4"/>
  <c r="E14" i="4"/>
  <c r="M13" i="4"/>
  <c r="I13" i="4"/>
  <c r="E13" i="4"/>
  <c r="M12" i="4"/>
  <c r="I12" i="4"/>
  <c r="E12" i="4"/>
  <c r="M11" i="4"/>
  <c r="I11" i="4"/>
  <c r="E11" i="4"/>
  <c r="M10" i="4"/>
  <c r="I10" i="4"/>
  <c r="E10" i="4"/>
  <c r="M9" i="4"/>
  <c r="I9" i="4"/>
  <c r="E9" i="4"/>
  <c r="M8" i="4"/>
  <c r="I8" i="4"/>
  <c r="E8" i="4"/>
  <c r="M7" i="4"/>
  <c r="I7" i="4"/>
  <c r="E7" i="4"/>
  <c r="M6" i="4"/>
  <c r="I6" i="4"/>
  <c r="E6" i="4"/>
  <c r="M5" i="4"/>
  <c r="I5" i="4"/>
  <c r="E5" i="4"/>
  <c r="E79" i="4" s="1"/>
  <c r="O2" i="4"/>
  <c r="J35" i="3"/>
  <c r="F35" i="3"/>
  <c r="E35" i="3"/>
  <c r="C35" i="3"/>
  <c r="L33" i="3"/>
  <c r="H33" i="3"/>
  <c r="D33" i="3"/>
  <c r="L32" i="3"/>
  <c r="H32" i="3"/>
  <c r="D32" i="3"/>
  <c r="L31" i="3"/>
  <c r="D31" i="3"/>
  <c r="L30" i="3"/>
  <c r="H30" i="3"/>
  <c r="D30" i="3"/>
  <c r="L29" i="3"/>
  <c r="H29" i="3"/>
  <c r="L28" i="3"/>
  <c r="D28" i="3"/>
  <c r="D27" i="3"/>
  <c r="H26" i="3"/>
  <c r="D26" i="3"/>
  <c r="L25" i="3"/>
  <c r="D25" i="3"/>
  <c r="L24" i="3"/>
  <c r="D24" i="3"/>
  <c r="L23" i="3"/>
  <c r="H23" i="3"/>
  <c r="D23" i="3"/>
  <c r="L22" i="3"/>
  <c r="H22" i="3"/>
  <c r="D22" i="3"/>
  <c r="L21" i="3"/>
  <c r="D21" i="3"/>
  <c r="L20" i="3"/>
  <c r="H20" i="3"/>
  <c r="D20" i="3"/>
  <c r="L19" i="3"/>
  <c r="H19" i="3"/>
  <c r="D19" i="3"/>
  <c r="L18" i="3"/>
  <c r="H18" i="3"/>
  <c r="D18" i="3"/>
  <c r="L17" i="3"/>
  <c r="D17" i="3"/>
  <c r="L16" i="3"/>
  <c r="H16" i="3"/>
  <c r="D16" i="3"/>
  <c r="L15" i="3"/>
  <c r="D15" i="3"/>
  <c r="L14" i="3"/>
  <c r="H14" i="3"/>
  <c r="D14" i="3"/>
  <c r="L13" i="3"/>
  <c r="H13" i="3"/>
  <c r="D13" i="3"/>
  <c r="L12" i="3"/>
  <c r="H12" i="3"/>
  <c r="D12" i="3"/>
  <c r="L11" i="3"/>
  <c r="H11" i="3"/>
  <c r="D11" i="3"/>
  <c r="L10" i="3"/>
  <c r="H10" i="3"/>
  <c r="D10" i="3"/>
  <c r="L9" i="3"/>
  <c r="H9" i="3"/>
  <c r="D9" i="3"/>
  <c r="L8" i="3"/>
  <c r="H8" i="3"/>
  <c r="D8" i="3"/>
  <c r="L7" i="3"/>
  <c r="H7" i="3"/>
  <c r="D7" i="3"/>
  <c r="L6" i="3"/>
  <c r="D6" i="3"/>
  <c r="L5" i="3"/>
  <c r="H5" i="3"/>
  <c r="D5" i="3"/>
  <c r="D35" i="3" s="1"/>
  <c r="M2" i="3"/>
  <c r="K17" i="2"/>
  <c r="M16" i="2"/>
  <c r="L16" i="2"/>
  <c r="I16" i="2"/>
  <c r="M15" i="2"/>
  <c r="L15" i="2"/>
  <c r="I15" i="2"/>
  <c r="M14" i="2"/>
  <c r="L14" i="2"/>
  <c r="I14" i="2"/>
  <c r="M13" i="2"/>
  <c r="L13" i="2"/>
  <c r="I13" i="2"/>
  <c r="M12" i="2"/>
  <c r="L12" i="2"/>
  <c r="I12" i="2"/>
  <c r="M11" i="2"/>
  <c r="L11" i="2"/>
  <c r="I11" i="2"/>
  <c r="M10" i="2"/>
  <c r="L10" i="2"/>
  <c r="I10" i="2"/>
  <c r="M9" i="2"/>
  <c r="L9" i="2"/>
  <c r="I9" i="2"/>
  <c r="M8" i="2"/>
  <c r="L8" i="2"/>
  <c r="I8" i="2"/>
  <c r="I7" i="2"/>
  <c r="M6" i="2"/>
  <c r="L6" i="2"/>
  <c r="I6" i="2"/>
  <c r="M5" i="2"/>
  <c r="L5" i="2"/>
  <c r="I5" i="2"/>
  <c r="O2" i="2"/>
  <c r="N2" i="2"/>
  <c r="F11" i="1"/>
  <c r="E11" i="1"/>
  <c r="D11" i="1"/>
  <c r="C11" i="1"/>
  <c r="G10" i="1"/>
  <c r="G9" i="1"/>
  <c r="H9" i="1" s="1"/>
  <c r="F9" i="1"/>
  <c r="E9" i="1"/>
  <c r="D9" i="1"/>
  <c r="C9" i="1"/>
  <c r="G8" i="1"/>
  <c r="H8" i="1" s="1"/>
  <c r="F8" i="1"/>
  <c r="E8" i="1"/>
  <c r="D8" i="1"/>
  <c r="C8" i="1"/>
  <c r="G11" i="1" l="1"/>
  <c r="H10" i="1"/>
  <c r="H11" i="1" l="1"/>
  <c r="J2" i="1"/>
</calcChain>
</file>

<file path=xl/sharedStrings.xml><?xml version="1.0" encoding="utf-8"?>
<sst xmlns="http://schemas.openxmlformats.org/spreadsheetml/2006/main" count="369" uniqueCount="207">
  <si>
    <t>Resumen Ejecutivo — Cambio Tecnología Sunmi | La Pampa</t>
  </si>
  <si>
    <t>📊  Avance Total del Proyecto</t>
  </si>
  <si>
    <t xml:space="preserve"> </t>
  </si>
  <si>
    <t>Proyecto:</t>
  </si>
  <si>
    <t>Cambio Tecnología Sunmi — La Pampa</t>
  </si>
  <si>
    <t>20%</t>
  </si>
  <si>
    <t>40%</t>
  </si>
  <si>
    <t>60%</t>
  </si>
  <si>
    <t>80%</t>
  </si>
  <si>
    <t>100%</t>
  </si>
  <si>
    <t>Fecha Inicio:</t>
  </si>
  <si>
    <t>Fecha Fin Estimada:</t>
  </si>
  <si>
    <t>Sección</t>
  </si>
  <si>
    <t>Agencias</t>
  </si>
  <si>
    <t>Back</t>
  </si>
  <si>
    <t>Sunmi</t>
  </si>
  <si>
    <t>LH</t>
  </si>
  <si>
    <t>Tjs</t>
  </si>
  <si>
    <t>% Avance</t>
  </si>
  <si>
    <t>Estado General</t>
  </si>
  <si>
    <t>Capital</t>
  </si>
  <si>
    <t>Interior</t>
  </si>
  <si>
    <t>Puesta en Marcha (Logística)</t>
  </si>
  <si>
    <t>TOTAL GENERAL</t>
  </si>
  <si>
    <t>Cambio Tecnología Sunmi — La Pampa | Logística Equipos/Contrato</t>
  </si>
  <si>
    <t>📊  Avance General — Logística</t>
  </si>
  <si>
    <t>Fecha Fin:</t>
  </si>
  <si>
    <t>N°</t>
  </si>
  <si>
    <t>Tarea</t>
  </si>
  <si>
    <t>Nota</t>
  </si>
  <si>
    <t>recibidas</t>
  </si>
  <si>
    <t>Inicio</t>
  </si>
  <si>
    <t>Final</t>
  </si>
  <si>
    <t>Días</t>
  </si>
  <si>
    <t>Estado</t>
  </si>
  <si>
    <t>Est.</t>
  </si>
  <si>
    <t>1.1</t>
  </si>
  <si>
    <t xml:space="preserve">Recepcion sunmi </t>
  </si>
  <si>
    <t>1.2</t>
  </si>
  <si>
    <t>Ciclado carga</t>
  </si>
  <si>
    <t>carga sistema operativo</t>
  </si>
  <si>
    <t>1.3</t>
  </si>
  <si>
    <t>Recepcion e-sim Claro</t>
  </si>
  <si>
    <t>Recepcion sim Personal</t>
  </si>
  <si>
    <t>Recepcion sim Movistar ( Fabrica)</t>
  </si>
  <si>
    <t>Envio tjs/ha Brc.</t>
  </si>
  <si>
    <t>aproximadamente</t>
  </si>
  <si>
    <t>Entrega instructivos / video</t>
  </si>
  <si>
    <t>1.5</t>
  </si>
  <si>
    <t>Armado cronograma Capital /interior</t>
  </si>
  <si>
    <t>1.6</t>
  </si>
  <si>
    <t>Primer reunion avance instalacion con cliente</t>
  </si>
  <si>
    <t>1.7</t>
  </si>
  <si>
    <t>Instalacion Capital</t>
  </si>
  <si>
    <t>1.8</t>
  </si>
  <si>
    <t>Instalacion interior</t>
  </si>
  <si>
    <t>TOTALES</t>
  </si>
  <si>
    <t>Cambio Tecnología Sunmi — La Pampa | Capital</t>
  </si>
  <si>
    <t>📊  Avance General — Capital</t>
  </si>
  <si>
    <t>Agencia</t>
  </si>
  <si>
    <t>Est. Capital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</si>
  <si>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</si>
  <si>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</si>
  <si>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</si>
  <si>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</si>
  <si>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</si>
  <si>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</si>
  <si>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</si>
  <si>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</si>
  <si>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</si>
  <si>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</si>
  <si>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</si>
  <si>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</si>
  <si>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</si>
  <si>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</si>
  <si>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</si>
  <si>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</si>
  <si>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</si>
  <si>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</si>
  <si>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</si>
  <si>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2.1.20</t>
  </si>
  <si>
    <t>2.1.21</t>
  </si>
  <si>
    <t>2.1.22</t>
  </si>
  <si>
    <t>2.1.23</t>
  </si>
  <si>
    <t>2.1.24</t>
  </si>
  <si>
    <t>2.1.25</t>
  </si>
  <si>
    <t>2.1.26</t>
  </si>
  <si>
    <t>2.1.27</t>
  </si>
  <si>
    <t>2.1.28</t>
  </si>
  <si>
    <t>2.1.29</t>
  </si>
  <si>
    <t>Loteria pidio no cambiar las terminales ya que es una proxima baja</t>
  </si>
  <si>
    <t>Cambio Tecnología Sunmi — La Pampa | Interior</t>
  </si>
  <si>
    <t>📊  Avance General — Interior</t>
  </si>
  <si>
    <t>Agencia N°</t>
  </si>
  <si>
    <t>Localidad</t>
  </si>
  <si>
    <t>Est. Interior</t>
  </si>
  <si>
    <t>Conhelo</t>
  </si>
  <si>
    <t>2.1.30</t>
  </si>
  <si>
    <t>Toay</t>
  </si>
  <si>
    <t>2.1.31</t>
  </si>
  <si>
    <t>2.1.32</t>
  </si>
  <si>
    <t>2.1.33</t>
  </si>
  <si>
    <t>Eduardo Castex</t>
  </si>
  <si>
    <t>2.1.34</t>
  </si>
  <si>
    <t>2.1.35</t>
  </si>
  <si>
    <t>2.1.36</t>
  </si>
  <si>
    <t>2.1.37</t>
  </si>
  <si>
    <t>Anguil</t>
  </si>
  <si>
    <t>2.1.38</t>
  </si>
  <si>
    <t>Uriburu</t>
  </si>
  <si>
    <t>2.1.39</t>
  </si>
  <si>
    <t>Realico</t>
  </si>
  <si>
    <t>2.1.40</t>
  </si>
  <si>
    <t>2.1.41</t>
  </si>
  <si>
    <t>2.1.42</t>
  </si>
  <si>
    <t>Lonquimay</t>
  </si>
  <si>
    <t>2.1.43</t>
  </si>
  <si>
    <t>2.1.44</t>
  </si>
  <si>
    <t>General Acha</t>
  </si>
  <si>
    <t>,,</t>
  </si>
  <si>
    <t>2.1.45</t>
  </si>
  <si>
    <t>2.1.46</t>
  </si>
  <si>
    <t>2.1.47</t>
  </si>
  <si>
    <t>2.1.48</t>
  </si>
  <si>
    <t>Quemu Quemu</t>
  </si>
  <si>
    <t>2.1.49</t>
  </si>
  <si>
    <t>Intendente Alvear</t>
  </si>
  <si>
    <t>2.1.50</t>
  </si>
  <si>
    <t>2.1.51</t>
  </si>
  <si>
    <t>2.1.52</t>
  </si>
  <si>
    <t>Doblas</t>
  </si>
  <si>
    <t>2.1.53</t>
  </si>
  <si>
    <t>La Maruja</t>
  </si>
  <si>
    <t>2.1.54</t>
  </si>
  <si>
    <t>Alpachiri</t>
  </si>
  <si>
    <t>2.1.55</t>
  </si>
  <si>
    <t>2.1.56</t>
  </si>
  <si>
    <t>Bernasconi</t>
  </si>
  <si>
    <t>2.1.57</t>
  </si>
  <si>
    <t>2.1.58</t>
  </si>
  <si>
    <t>Jacinto Arauz</t>
  </si>
  <si>
    <t>2.1.59</t>
  </si>
  <si>
    <t>Colonia Baron</t>
  </si>
  <si>
    <t>2.1.60</t>
  </si>
  <si>
    <t>2.1.61</t>
  </si>
  <si>
    <t>Guatrache</t>
  </si>
  <si>
    <t>2.1.62</t>
  </si>
  <si>
    <t>2.1.63</t>
  </si>
  <si>
    <t>Ingeniero Luiggi</t>
  </si>
  <si>
    <t>2.1.64</t>
  </si>
  <si>
    <t>2.1.65</t>
  </si>
  <si>
    <t>Caleufu</t>
  </si>
  <si>
    <t>2.1.66</t>
  </si>
  <si>
    <t>General Pico</t>
  </si>
  <si>
    <t>2.1.67</t>
  </si>
  <si>
    <t>2.1.68</t>
  </si>
  <si>
    <t>2.1.69</t>
  </si>
  <si>
    <t>2.1.70</t>
  </si>
  <si>
    <t>2.1.71</t>
  </si>
  <si>
    <t>2.1.72</t>
  </si>
  <si>
    <t>2.1.73</t>
  </si>
  <si>
    <t>2.1.74</t>
  </si>
  <si>
    <t>2.1.75</t>
  </si>
  <si>
    <t>2.1.76</t>
  </si>
  <si>
    <t>2.1.77</t>
  </si>
  <si>
    <t>Santa Isabel</t>
  </si>
  <si>
    <t>2.1.78</t>
  </si>
  <si>
    <t>Trenel</t>
  </si>
  <si>
    <t>2.1.79</t>
  </si>
  <si>
    <t>2.1.80</t>
  </si>
  <si>
    <t>2.1.81</t>
  </si>
  <si>
    <t>Alta Italia</t>
  </si>
  <si>
    <t>2.1.82</t>
  </si>
  <si>
    <t>2.1.83</t>
  </si>
  <si>
    <t>San Martin</t>
  </si>
  <si>
    <t>2.1.84</t>
  </si>
  <si>
    <t>Miguel Riglos</t>
  </si>
  <si>
    <t>2.1.85</t>
  </si>
  <si>
    <t>Embajador Martini</t>
  </si>
  <si>
    <t>2.1.86</t>
  </si>
  <si>
    <t>Parera</t>
  </si>
  <si>
    <t>2.1.87</t>
  </si>
  <si>
    <t>Victorica</t>
  </si>
  <si>
    <t>2.1.88</t>
  </si>
  <si>
    <t>2.1.89</t>
  </si>
  <si>
    <t>25 de mayo</t>
  </si>
  <si>
    <t>2.1.90</t>
  </si>
  <si>
    <t>2.1.91</t>
  </si>
  <si>
    <t>Winifreda</t>
  </si>
  <si>
    <t>2.1.92</t>
  </si>
  <si>
    <t>Bernardo Larroude</t>
  </si>
  <si>
    <t>2.1.93</t>
  </si>
  <si>
    <t>Rancul</t>
  </si>
  <si>
    <t>2.1.94</t>
  </si>
  <si>
    <t>Arata</t>
  </si>
  <si>
    <t>2.1.95</t>
  </si>
  <si>
    <t>Catrilo</t>
  </si>
  <si>
    <t>2.1.96</t>
  </si>
  <si>
    <t>2.1.97</t>
  </si>
  <si>
    <t>La Adela</t>
  </si>
  <si>
    <t>2.1.98</t>
  </si>
  <si>
    <t>Macachin</t>
  </si>
  <si>
    <t>2.1.99</t>
  </si>
  <si>
    <t>2.1.100</t>
  </si>
  <si>
    <t>Puelen</t>
  </si>
  <si>
    <t>2.1.101</t>
  </si>
  <si>
    <t>Rolon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</si>
</sst>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d\ dd/mm/yyyy"/>
  </numFmts>
  <fonts count="22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22"/>
      <color rgb="FF1F3864"/>
      <name val="Arial"/>
      <charset val="1"/>
    </font>
    <font>
      <sz val="11"/>
      <name val="Cambria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7"/>
      <color rgb="FF2E75B6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b/>
      <sz val="14"/>
      <color rgb="FFFFFFFF"/>
      <name val="Cambria"/>
      <charset val="1"/>
    </font>
    <font>
      <b/>
      <sz val="11"/>
      <color rgb="FFFFFFFF"/>
      <name val="Cambria"/>
      <charset val="1"/>
    </font>
    <font>
      <b/>
      <sz val="10"/>
      <name val="Cambria"/>
      <charset val="1"/>
    </font>
    <font>
      <b/>
      <sz val="16"/>
      <name val="Cambria"/>
      <family val="1"/>
      <charset val="1"/>
    </font>
    <font>
      <b/>
      <sz val="7"/>
      <name val="Cambria"/>
      <charset val="1"/>
    </font>
    <font>
      <b/>
      <sz val="11"/>
      <color rgb="FFFFFFFF"/>
      <name val="Cambria"/>
      <family val="1"/>
      <charset val="1"/>
    </font>
    <font>
      <b/>
      <sz val="11"/>
      <name val="Cambria"/>
      <charset val="1"/>
    </font>
    <font>
      <b/>
      <sz val="11"/>
      <name val="Cambria"/>
      <family val="1"/>
      <charset val="1"/>
    </font>
    <font>
      <b/>
      <sz val="14"/>
      <color rgb="FFFFFFFF"/>
      <name val="Arial"/>
      <charset val="1"/>
    </font>
    <font>
      <sz val="10"/>
      <color rgb="FF000000"/>
      <name val="Arial"/>
      <family val="2"/>
      <charset val="1"/>
    </font>
    <font>
      <b/>
      <sz val="12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D9D9"/>
      </patternFill>
    </fill>
    <fill>
      <patternFill patternType="solid">
        <fgColor rgb="FFEBF3FB"/>
        <bgColor rgb="FFEBF1DE"/>
      </patternFill>
    </fill>
    <fill>
      <patternFill patternType="solid">
        <fgColor rgb="FFD9D9D9"/>
        <bgColor rgb="FFD6E4F0"/>
      </patternFill>
    </fill>
    <fill>
      <patternFill patternType="solid">
        <fgColor theme="6" tint="0.79989013336588644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BF1DE"/>
      </patternFill>
    </fill>
    <fill>
      <patternFill patternType="solid">
        <fgColor rgb="FFBDD7EE"/>
        <bgColor rgb="FFD9D9D9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2" xfId="0" applyFont="1" applyBorder="1" applyAlignment="1">
      <alignment horizontal="center" vertical="center"/>
    </xf>
    <xf numFmtId="14" fontId="6" fillId="0" borderId="0" xfId="0" applyNumberFormat="1" applyFont="1"/>
    <xf numFmtId="0" fontId="8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164" fontId="6" fillId="6" borderId="2" xfId="0" applyNumberFormat="1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164" fontId="9" fillId="7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2" borderId="0" xfId="0" applyFont="1" applyFill="1"/>
    <xf numFmtId="0" fontId="13" fillId="0" borderId="0" xfId="0" applyFont="1"/>
    <xf numFmtId="14" fontId="0" fillId="0" borderId="0" xfId="0" applyNumberFormat="1"/>
    <xf numFmtId="10" fontId="0" fillId="0" borderId="0" xfId="0" applyNumberFormat="1"/>
    <xf numFmtId="9" fontId="14" fillId="8" borderId="0" xfId="0" applyNumberFormat="1" applyFont="1" applyFill="1"/>
    <xf numFmtId="0" fontId="15" fillId="0" borderId="0" xfId="0" applyFont="1"/>
    <xf numFmtId="0" fontId="12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165" fontId="0" fillId="9" borderId="0" xfId="0" applyNumberFormat="1" applyFill="1"/>
    <xf numFmtId="14" fontId="0" fillId="10" borderId="0" xfId="0" applyNumberFormat="1" applyFill="1"/>
    <xf numFmtId="9" fontId="0" fillId="9" borderId="0" xfId="0" applyNumberFormat="1" applyFill="1"/>
    <xf numFmtId="0" fontId="17" fillId="11" borderId="0" xfId="0" applyFont="1" applyFill="1"/>
    <xf numFmtId="0" fontId="17" fillId="9" borderId="0" xfId="0" applyFont="1" applyFill="1"/>
    <xf numFmtId="0" fontId="18" fillId="9" borderId="0" xfId="0" applyFont="1" applyFill="1"/>
    <xf numFmtId="0" fontId="17" fillId="0" borderId="0" xfId="0" applyFont="1"/>
    <xf numFmtId="9" fontId="17" fillId="0" borderId="0" xfId="0" applyNumberFormat="1" applyFont="1"/>
    <xf numFmtId="14" fontId="20" fillId="0" borderId="0" xfId="0" applyNumberFormat="1" applyFont="1"/>
    <xf numFmtId="0" fontId="8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/>
    <xf numFmtId="0" fontId="6" fillId="9" borderId="2" xfId="0" applyFont="1" applyFill="1" applyBorder="1"/>
    <xf numFmtId="165" fontId="20" fillId="9" borderId="2" xfId="0" applyNumberFormat="1" applyFont="1" applyFill="1" applyBorder="1" applyAlignment="1">
      <alignment horizontal="center" vertical="center"/>
    </xf>
    <xf numFmtId="14" fontId="6" fillId="10" borderId="2" xfId="0" applyNumberFormat="1" applyFont="1" applyFill="1" applyBorder="1" applyAlignment="1">
      <alignment horizontal="center" vertical="center"/>
    </xf>
    <xf numFmtId="9" fontId="6" fillId="9" borderId="2" xfId="0" applyNumberFormat="1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0" fontId="6" fillId="5" borderId="2" xfId="0" applyFont="1" applyFill="1" applyBorder="1"/>
    <xf numFmtId="165" fontId="6" fillId="9" borderId="2" xfId="0" applyNumberFormat="1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9" borderId="2" xfId="0" applyFill="1" applyBorder="1" applyAlignment="1">
      <alignment horizontal="center" vertical="center" wrapText="1"/>
    </xf>
    <xf numFmtId="165" fontId="0" fillId="9" borderId="2" xfId="0" applyNumberFormat="1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9" fontId="0" fillId="9" borderId="2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shrinkToFit="1"/>
    </xf>
    <xf numFmtId="164" fontId="3" fillId="3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0" borderId="0" xfId="0" applyFont="1" applyAlignment="1">
      <alignment vertical="top" wrapText="1"/>
    </xf>
    <xf numFmtId="0" fontId="21" fillId="0" borderId="0" xfId="0" applyFont="1"/>
    <xf numFmtId="0" fontId="11" fillId="2" borderId="0" xfId="0" applyFont="1" applyFill="1" applyAlignment="1"/>
  </cellXfs>
  <cellStyles count="1">
    <cellStyle name="Normal" xfId="0" builtinId="0"/>
  </cellStyles>
  <dxfs count="59">
    <dxf>
      <font>
        <i/>
        <color rgb="FFFFFFFF"/>
        <name val="Arial"/>
        <charset val="1"/>
      </font>
      <fill>
        <patternFill>
          <bgColor rgb="FFD9D9D9"/>
        </patternFill>
      </fill>
    </dxf>
    <dxf>
      <font>
        <b/>
        <i/>
        <color rgb="FFFFFFFF"/>
        <name val="Arial"/>
        <charset val="1"/>
      </font>
      <fill>
        <patternFill>
          <bgColor rgb="FFF4B942"/>
        </patternFill>
      </fill>
    </dxf>
    <dxf>
      <font>
        <b/>
        <color rgb="FFFFFFFF"/>
        <name val="Arial"/>
        <charset val="1"/>
      </font>
      <fill>
        <patternFill>
          <bgColor rgb="FF70AD47"/>
        </patternFill>
      </fill>
    </dxf>
    <dxf>
      <font>
        <color rgb="FFFFFFFF"/>
        <name val="Arial"/>
        <charset val="1"/>
      </font>
      <fill>
        <patternFill>
          <bgColor rgb="FFD9D9D9"/>
        </patternFill>
      </fill>
    </dxf>
    <dxf>
      <font>
        <b/>
        <color rgb="FFFFFFFF"/>
        <name val="Arial"/>
        <charset val="1"/>
      </font>
      <fill>
        <patternFill>
          <bgColor rgb="FFF4B942"/>
        </patternFill>
      </fill>
    </dxf>
    <dxf>
      <font>
        <b/>
        <i val="0"/>
        <color rgb="FFFFFFFF"/>
      </font>
      <fill>
        <patternFill patternType="solid">
          <bgColor theme="3" tint="0.59999389629810485"/>
        </patternFill>
      </fill>
    </dxf>
    <dxf>
      <font>
        <b/>
        <color rgb="FFFFFFFF"/>
        <name val="Arial"/>
        <charset val="1"/>
      </font>
      <fill>
        <patternFill>
          <bgColor rgb="FF70AD47"/>
        </patternFill>
      </fill>
    </dxf>
    <dxf>
      <font>
        <i/>
        <color rgb="FFFFFFFF"/>
        <name val="Arial"/>
        <charset val="1"/>
      </font>
      <fill>
        <patternFill>
          <bgColor rgb="FFD9D9D9"/>
        </patternFill>
      </fill>
    </dxf>
    <dxf>
      <font>
        <b/>
        <i/>
        <color rgb="FFFFFFFF"/>
        <name val="Arial"/>
        <charset val="1"/>
      </font>
      <fill>
        <patternFill>
          <bgColor rgb="FFF4B942"/>
        </patternFill>
      </fill>
    </dxf>
    <dxf>
      <font>
        <b/>
        <color rgb="FFFFFFFF"/>
        <name val="Arial"/>
        <charset val="1"/>
      </font>
      <fill>
        <patternFill>
          <bgColor rgb="FF70AD47"/>
        </patternFill>
      </fill>
    </dxf>
    <dxf>
      <font>
        <color rgb="FFFFFFFF"/>
        <name val="Arial"/>
        <charset val="1"/>
      </font>
      <fill>
        <patternFill>
          <bgColor rgb="FFD9D9D9"/>
        </patternFill>
      </fill>
    </dxf>
    <dxf>
      <font>
        <b/>
        <color rgb="FFFFFFFF"/>
        <name val="Arial"/>
        <charset val="1"/>
      </font>
      <fill>
        <patternFill>
          <bgColor rgb="FFF4B942"/>
        </patternFill>
      </fill>
    </dxf>
    <dxf>
      <font>
        <b/>
        <i val="0"/>
        <color rgb="FFFFFFFF"/>
      </font>
      <fill>
        <patternFill patternType="solid">
          <bgColor theme="3" tint="0.59999389629810485"/>
        </patternFill>
      </fill>
    </dxf>
    <dxf>
      <font>
        <b/>
        <color rgb="FFFFFFFF"/>
        <name val="Arial"/>
        <charset val="1"/>
      </font>
      <fill>
        <patternFill>
          <bgColor rgb="FF70AD47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ont>
        <color rgb="FFFFFFFF"/>
      </font>
      <fill>
        <patternFill>
          <bgColor rgb="FF9DC3E6"/>
        </patternFill>
      </fill>
    </dxf>
    <dxf>
      <font>
        <color rgb="FFFFFFFF"/>
        <name val="Arial"/>
        <charset val="1"/>
      </font>
      <fill>
        <patternFill>
          <bgColor rgb="FFD9D9D9"/>
        </patternFill>
      </fill>
    </dxf>
    <dxf>
      <font>
        <b/>
        <color rgb="FFFFFFFF"/>
        <name val="Arial"/>
        <charset val="1"/>
      </font>
      <fill>
        <patternFill>
          <bgColor rgb="FFF4B942"/>
        </patternFill>
      </fill>
    </dxf>
    <dxf>
      <font>
        <b/>
        <color rgb="FFFFFFFF"/>
        <name val="Arial"/>
        <charset val="1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BF1DE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D6E4F0"/>
      <rgbColor rgb="FF9DC3E6"/>
      <rgbColor rgb="FFFF99CC"/>
      <rgbColor rgb="FFCC99FF"/>
      <rgbColor rgb="FFD9D9D9"/>
      <rgbColor rgb="FF2E75B6"/>
      <rgbColor rgb="FF33CCCC"/>
      <rgbColor rgb="FF99CC00"/>
      <rgbColor rgb="FFF4B942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zoomScaleNormal="100" workbookViewId="0">
      <selection activeCell="B6" sqref="B6"/>
    </sheetView>
  </sheetViews>
  <sheetFormatPr defaultColWidth="8.7109375" defaultRowHeight="14.25"/>
  <cols>
    <col min="1" max="1" width="18" customWidth="1"/>
    <col min="2" max="2" width="12" customWidth="1"/>
    <col min="3" max="6" width="10" customWidth="1"/>
    <col min="7" max="7" width="14" customWidth="1"/>
    <col min="8" max="8" width="18" customWidth="1"/>
    <col min="10" max="12" width="5.5703125" customWidth="1"/>
    <col min="13" max="32" width="2.42578125" customWidth="1"/>
  </cols>
  <sheetData>
    <row r="1" spans="1:32" ht="36.75" customHeight="1">
      <c r="A1" s="1" t="s">
        <v>0</v>
      </c>
      <c r="J1" s="56" t="s">
        <v>1</v>
      </c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</row>
    <row r="2" spans="1:32" ht="24" customHeight="1">
      <c r="J2" s="55">
        <f>'Resumen Ejecutivo'!G11</f>
        <v>0.59187068965517242</v>
      </c>
      <c r="K2" s="55"/>
      <c r="L2" s="55"/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  <c r="T2" s="2" t="s">
        <v>2</v>
      </c>
      <c r="U2" s="2" t="s">
        <v>2</v>
      </c>
      <c r="V2" s="2" t="s">
        <v>2</v>
      </c>
      <c r="W2" s="2" t="s">
        <v>2</v>
      </c>
      <c r="X2" s="2" t="s">
        <v>2</v>
      </c>
      <c r="Y2" s="2" t="s">
        <v>2</v>
      </c>
      <c r="Z2" s="2" t="s">
        <v>2</v>
      </c>
      <c r="AA2" s="2" t="s">
        <v>2</v>
      </c>
      <c r="AB2" s="2" t="s">
        <v>2</v>
      </c>
      <c r="AC2" s="2" t="s">
        <v>2</v>
      </c>
      <c r="AD2" s="2" t="s">
        <v>2</v>
      </c>
      <c r="AE2" s="2" t="s">
        <v>2</v>
      </c>
      <c r="AF2" s="2" t="s">
        <v>2</v>
      </c>
    </row>
    <row r="3" spans="1:32" ht="12.75" customHeight="1">
      <c r="A3" s="3" t="s">
        <v>3</v>
      </c>
      <c r="B3" s="4" t="s">
        <v>4</v>
      </c>
      <c r="J3" s="55"/>
      <c r="K3" s="55"/>
      <c r="L3" s="55"/>
      <c r="M3" s="2"/>
      <c r="N3" s="2"/>
      <c r="O3" s="2"/>
      <c r="P3" s="5" t="s">
        <v>5</v>
      </c>
      <c r="Q3" s="2"/>
      <c r="R3" s="2"/>
      <c r="S3" s="2"/>
      <c r="T3" s="5" t="s">
        <v>6</v>
      </c>
      <c r="U3" s="2"/>
      <c r="V3" s="2"/>
      <c r="W3" s="2"/>
      <c r="X3" s="5" t="s">
        <v>7</v>
      </c>
      <c r="Y3" s="2"/>
      <c r="Z3" s="2"/>
      <c r="AA3" s="2"/>
      <c r="AB3" s="5" t="s">
        <v>8</v>
      </c>
      <c r="AC3" s="2"/>
      <c r="AD3" s="2"/>
      <c r="AE3" s="2"/>
      <c r="AF3" s="5" t="s">
        <v>9</v>
      </c>
    </row>
    <row r="4" spans="1:32" ht="15" customHeight="1">
      <c r="A4" s="3" t="s">
        <v>10</v>
      </c>
      <c r="B4" s="6">
        <v>46244</v>
      </c>
    </row>
    <row r="5" spans="1:32" ht="15" customHeight="1">
      <c r="A5" s="3" t="s">
        <v>11</v>
      </c>
      <c r="B5" s="6">
        <v>46290</v>
      </c>
    </row>
    <row r="7" spans="1:32" ht="27.75" customHeight="1">
      <c r="A7" s="7" t="s">
        <v>12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18</v>
      </c>
      <c r="H7" s="7" t="s">
        <v>19</v>
      </c>
    </row>
    <row r="8" spans="1:32" ht="21.75" customHeight="1">
      <c r="A8" s="8" t="s">
        <v>20</v>
      </c>
      <c r="B8" s="8">
        <v>28</v>
      </c>
      <c r="C8" s="8">
        <f>'Gantt Capital'!C35</f>
        <v>25</v>
      </c>
      <c r="D8" s="8">
        <f>'Gantt Capital'!D35</f>
        <v>161</v>
      </c>
      <c r="E8" s="8">
        <f>'Gantt Capital'!E35</f>
        <v>29</v>
      </c>
      <c r="F8" s="8">
        <f>'Gantt Capital'!F35</f>
        <v>132</v>
      </c>
      <c r="G8" s="9">
        <f>'Gantt Capital'!J35</f>
        <v>0.77586206896551724</v>
      </c>
      <c r="H8" s="8" t="str">
        <f>IF(G8=1,"Completado",IF(G8&gt;=0.5,"En Avance",IF(G8&gt;0,"En Proceso","Pendiente")))</f>
        <v>En Avance</v>
      </c>
    </row>
    <row r="9" spans="1:32" ht="21.75" customHeight="1">
      <c r="A9" s="10" t="s">
        <v>21</v>
      </c>
      <c r="B9" s="10">
        <v>72</v>
      </c>
      <c r="C9" s="10">
        <f>'Gantt Interior'!D79</f>
        <v>47</v>
      </c>
      <c r="D9" s="10">
        <f>'Gantt Interior'!E79</f>
        <v>344</v>
      </c>
      <c r="E9" s="10">
        <f>'Gantt Interior'!F79</f>
        <v>74</v>
      </c>
      <c r="F9" s="10">
        <f>'Gantt Interior'!G79</f>
        <v>270</v>
      </c>
      <c r="G9" s="11">
        <f>'Gantt Interior'!K79</f>
        <v>0.34583333333333333</v>
      </c>
      <c r="H9" s="10" t="str">
        <f>IF(G9=1,"Completado",IF(G9&gt;=0.5,"En Avance",IF(G9&gt;0,"En Proceso","Pendiente")))</f>
        <v>En Proceso</v>
      </c>
    </row>
    <row r="10" spans="1:32" ht="21.75" customHeight="1">
      <c r="A10" s="8" t="s">
        <v>22</v>
      </c>
      <c r="B10" s="8"/>
      <c r="C10" s="8"/>
      <c r="D10" s="8"/>
      <c r="E10" s="8"/>
      <c r="F10" s="8"/>
      <c r="G10" s="9">
        <f>'Gantt Logística'!K17</f>
        <v>0.71749999999999992</v>
      </c>
      <c r="H10" s="8" t="str">
        <f>IF(G10=1,"Completado",IF(G10&gt;=0.5,"En Avance",IF(G10&gt;0,"En Proceso","Pendiente")))</f>
        <v>En Avance</v>
      </c>
    </row>
    <row r="11" spans="1:32" ht="26.25" customHeight="1">
      <c r="A11" s="12" t="s">
        <v>23</v>
      </c>
      <c r="B11" s="12">
        <v>100</v>
      </c>
      <c r="C11" s="12">
        <f>'Gantt Capital'!C35 + 'Gantt Interior'!D79</f>
        <v>72</v>
      </c>
      <c r="D11" s="12">
        <f>'Gantt Capital'!D35 + 'Gantt Interior'!E79</f>
        <v>505</v>
      </c>
      <c r="E11" s="12">
        <f>'Gantt Capital'!E35 + 'Gantt Interior'!F79</f>
        <v>103</v>
      </c>
      <c r="F11" s="12">
        <f>'Gantt Capital'!F35 + 'Gantt Interior'!G79</f>
        <v>402</v>
      </c>
      <c r="G11" s="13">
        <f>(('Gantt Capital'!J35*B8+'Gantt Interior'!K79*B9)/(B8+B9) + G10)/2</f>
        <v>0.59187068965517242</v>
      </c>
      <c r="H11" s="12" t="str">
        <f>IF(G11=1,"Completado",IF(G11&gt;=0.5,"En Avance",IF(G11&gt;0,"En Proceso","Pendiente")))</f>
        <v>En Avance</v>
      </c>
    </row>
    <row r="12" spans="1:32" ht="15" customHeight="1">
      <c r="A12" s="3"/>
    </row>
    <row r="13" spans="1:32" ht="36" customHeight="1">
      <c r="A13" s="57"/>
      <c r="B13" s="57"/>
      <c r="C13" s="57"/>
      <c r="D13" s="57"/>
      <c r="E13" s="57"/>
      <c r="F13" s="57"/>
      <c r="G13" s="57"/>
      <c r="H13" s="57"/>
    </row>
    <row r="14" spans="1:32" ht="15" customHeight="1">
      <c r="A14" s="57"/>
      <c r="B14" s="57"/>
      <c r="C14" s="57"/>
      <c r="D14" s="57"/>
      <c r="E14" s="57"/>
      <c r="F14" s="57"/>
      <c r="G14" s="57"/>
      <c r="H14" s="57"/>
    </row>
  </sheetData>
  <mergeCells count="3">
    <mergeCell ref="J1:AF1"/>
    <mergeCell ref="J2:L3"/>
    <mergeCell ref="A13:H14"/>
  </mergeCells>
  <conditionalFormatting sqref="H8:H11">
    <cfRule type="expression" dxfId="58" priority="2">
      <formula>H8="Completado"</formula>
    </cfRule>
    <cfRule type="expression" dxfId="57" priority="3">
      <formula>H8="En Avance"</formula>
    </cfRule>
    <cfRule type="expression" dxfId="56" priority="4">
      <formula>H8="Pendiente"</formula>
    </cfRule>
    <cfRule type="expression" dxfId="55" priority="5">
      <formula>H8="En Proceso"</formula>
    </cfRule>
  </conditionalFormatting>
  <conditionalFormatting sqref="M2">
    <cfRule type="expression" dxfId="54" priority="6">
      <formula>G11&gt;=0.05</formula>
    </cfRule>
    <cfRule type="expression" dxfId="53" priority="7">
      <formula>G11&lt;0.05</formula>
    </cfRule>
  </conditionalFormatting>
  <conditionalFormatting sqref="N2">
    <cfRule type="expression" dxfId="52" priority="8">
      <formula>G11&gt;=0.1</formula>
    </cfRule>
    <cfRule type="expression" dxfId="51" priority="9">
      <formula>G11&lt;0.1</formula>
    </cfRule>
  </conditionalFormatting>
  <conditionalFormatting sqref="O2">
    <cfRule type="expression" dxfId="50" priority="10">
      <formula>G11&gt;=0.15</formula>
    </cfRule>
    <cfRule type="expression" dxfId="49" priority="11">
      <formula>G11&lt;0.15</formula>
    </cfRule>
  </conditionalFormatting>
  <conditionalFormatting sqref="P2">
    <cfRule type="expression" dxfId="48" priority="12">
      <formula>G11&gt;=0.2</formula>
    </cfRule>
    <cfRule type="expression" dxfId="47" priority="13">
      <formula>G11&lt;0.2</formula>
    </cfRule>
  </conditionalFormatting>
  <conditionalFormatting sqref="Q2">
    <cfRule type="expression" dxfId="46" priority="14">
      <formula>G11&gt;=0.25</formula>
    </cfRule>
    <cfRule type="expression" dxfId="45" priority="15">
      <formula>G11&lt;0.25</formula>
    </cfRule>
  </conditionalFormatting>
  <conditionalFormatting sqref="R2">
    <cfRule type="expression" dxfId="44" priority="16">
      <formula>G11&gt;=0.3</formula>
    </cfRule>
    <cfRule type="expression" dxfId="43" priority="17">
      <formula>G11&lt;0.3</formula>
    </cfRule>
  </conditionalFormatting>
  <conditionalFormatting sqref="S2">
    <cfRule type="expression" dxfId="42" priority="18">
      <formula>G11&gt;=0.35</formula>
    </cfRule>
    <cfRule type="expression" dxfId="41" priority="19">
      <formula>G11&lt;0.35</formula>
    </cfRule>
  </conditionalFormatting>
  <conditionalFormatting sqref="T2">
    <cfRule type="expression" dxfId="40" priority="20">
      <formula>G11&gt;=0.4</formula>
    </cfRule>
    <cfRule type="expression" dxfId="39" priority="21">
      <formula>G11&lt;0.4</formula>
    </cfRule>
  </conditionalFormatting>
  <conditionalFormatting sqref="U2">
    <cfRule type="expression" dxfId="38" priority="22">
      <formula>G11&gt;=0.45</formula>
    </cfRule>
    <cfRule type="expression" dxfId="37" priority="23">
      <formula>G11&lt;0.45</formula>
    </cfRule>
  </conditionalFormatting>
  <conditionalFormatting sqref="V2">
    <cfRule type="expression" dxfId="36" priority="24">
      <formula>G11&gt;=0.5</formula>
    </cfRule>
    <cfRule type="expression" dxfId="35" priority="25">
      <formula>G11&lt;0.5</formula>
    </cfRule>
  </conditionalFormatting>
  <conditionalFormatting sqref="W2">
    <cfRule type="expression" dxfId="34" priority="26">
      <formula>G11&gt;=0.55</formula>
    </cfRule>
    <cfRule type="expression" dxfId="33" priority="27">
      <formula>G11&lt;0.55</formula>
    </cfRule>
  </conditionalFormatting>
  <conditionalFormatting sqref="X2">
    <cfRule type="expression" dxfId="32" priority="28">
      <formula>G11&gt;=0.6</formula>
    </cfRule>
    <cfRule type="expression" dxfId="31" priority="29">
      <formula>G11&lt;0.6</formula>
    </cfRule>
  </conditionalFormatting>
  <conditionalFormatting sqref="Y2">
    <cfRule type="expression" dxfId="30" priority="30">
      <formula>G11&gt;=0.65</formula>
    </cfRule>
    <cfRule type="expression" dxfId="29" priority="31">
      <formula>G11&lt;0.65</formula>
    </cfRule>
  </conditionalFormatting>
  <conditionalFormatting sqref="Z2">
    <cfRule type="expression" dxfId="28" priority="32">
      <formula>G11&gt;=0.7</formula>
    </cfRule>
    <cfRule type="expression" dxfId="27" priority="33">
      <formula>G11&lt;0.7</formula>
    </cfRule>
  </conditionalFormatting>
  <conditionalFormatting sqref="AA2">
    <cfRule type="expression" dxfId="26" priority="34">
      <formula>G11&gt;=0.75</formula>
    </cfRule>
    <cfRule type="expression" dxfId="25" priority="35">
      <formula>G11&lt;0.75</formula>
    </cfRule>
  </conditionalFormatting>
  <conditionalFormatting sqref="AB2">
    <cfRule type="expression" dxfId="24" priority="36">
      <formula>G11&gt;=0.8</formula>
    </cfRule>
    <cfRule type="expression" dxfId="23" priority="37">
      <formula>G11&lt;0.8</formula>
    </cfRule>
  </conditionalFormatting>
  <conditionalFormatting sqref="AC2">
    <cfRule type="expression" dxfId="22" priority="38">
      <formula>G11&gt;=0.85</formula>
    </cfRule>
    <cfRule type="expression" dxfId="21" priority="39">
      <formula>G11&lt;0.85</formula>
    </cfRule>
  </conditionalFormatting>
  <conditionalFormatting sqref="AD2">
    <cfRule type="expression" dxfId="20" priority="40">
      <formula>G11&gt;=0.9</formula>
    </cfRule>
    <cfRule type="expression" dxfId="19" priority="41">
      <formula>G11&lt;0.9</formula>
    </cfRule>
  </conditionalFormatting>
  <conditionalFormatting sqref="AE2">
    <cfRule type="expression" dxfId="18" priority="42">
      <formula>G11&gt;=0.95</formula>
    </cfRule>
    <cfRule type="expression" dxfId="17" priority="43">
      <formula>G11&lt;0.95</formula>
    </cfRule>
  </conditionalFormatting>
  <conditionalFormatting sqref="AF2">
    <cfRule type="expression" dxfId="16" priority="44">
      <formula>G11&gt;=1</formula>
    </cfRule>
    <cfRule type="expression" dxfId="15" priority="45">
      <formula>G11&lt;1</formula>
    </cfRule>
  </conditionalFormatting>
  <conditionalFormatting sqref="G8:G11">
    <cfRule type="cellIs" dxfId="14" priority="46" operator="greaterThan">
      <formula>0.01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7"/>
  <sheetViews>
    <sheetView zoomScaleNormal="100" workbookViewId="0">
      <selection activeCell="K16" sqref="K16"/>
    </sheetView>
  </sheetViews>
  <sheetFormatPr defaultColWidth="8.7109375" defaultRowHeight="14.25"/>
  <cols>
    <col min="1" max="1" width="11.85546875" customWidth="1"/>
    <col min="2" max="2" width="38.28515625" customWidth="1"/>
    <col min="3" max="3" width="10" customWidth="1"/>
    <col min="4" max="4" width="10.5703125" customWidth="1"/>
    <col min="5" max="5" width="8" customWidth="1"/>
    <col min="6" max="6" width="13" customWidth="1"/>
    <col min="7" max="7" width="18" style="14" customWidth="1"/>
    <col min="8" max="8" width="16" customWidth="1"/>
    <col min="9" max="9" width="13" customWidth="1"/>
    <col min="10" max="10" width="8" customWidth="1"/>
    <col min="11" max="11" width="12" customWidth="1"/>
    <col min="12" max="12" width="14" customWidth="1"/>
    <col min="13" max="13" width="12" customWidth="1"/>
    <col min="15" max="15" width="30.85546875" customWidth="1"/>
  </cols>
  <sheetData>
    <row r="1" spans="1:37" ht="17.25" customHeight="1">
      <c r="A1" s="59" t="s">
        <v>24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O1" s="15" t="s">
        <v>25</v>
      </c>
    </row>
    <row r="2" spans="1:37" ht="26.25" customHeight="1">
      <c r="A2" s="16" t="s">
        <v>10</v>
      </c>
      <c r="B2" s="17">
        <v>46174</v>
      </c>
      <c r="C2" s="16" t="s">
        <v>26</v>
      </c>
      <c r="D2" s="17">
        <v>46270</v>
      </c>
      <c r="N2" s="18">
        <f>AVERAGE(K5:K16)</f>
        <v>0.71749999999999992</v>
      </c>
      <c r="O2" s="19">
        <f>AVERAGE(K5:K16)</f>
        <v>0.71749999999999992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</row>
    <row r="3" spans="1:37" ht="15" customHeight="1">
      <c r="U3" s="20" t="s">
        <v>5</v>
      </c>
      <c r="Y3" s="20" t="s">
        <v>6</v>
      </c>
      <c r="AC3" s="20" t="s">
        <v>7</v>
      </c>
      <c r="AG3" s="20" t="s">
        <v>8</v>
      </c>
      <c r="AK3" s="20" t="s">
        <v>9</v>
      </c>
    </row>
    <row r="4" spans="1:37" ht="15" customHeight="1">
      <c r="A4" s="21" t="s">
        <v>27</v>
      </c>
      <c r="B4" s="21" t="s">
        <v>28</v>
      </c>
      <c r="C4" s="21" t="s">
        <v>29</v>
      </c>
      <c r="D4" s="21"/>
      <c r="E4" s="21"/>
      <c r="F4" s="21"/>
      <c r="G4" s="22" t="s">
        <v>30</v>
      </c>
      <c r="H4" s="21" t="s">
        <v>31</v>
      </c>
      <c r="I4" s="21" t="s">
        <v>32</v>
      </c>
      <c r="J4" s="21" t="s">
        <v>33</v>
      </c>
      <c r="K4" s="21" t="s">
        <v>18</v>
      </c>
      <c r="L4" s="21" t="s">
        <v>34</v>
      </c>
      <c r="M4" s="23" t="s">
        <v>35</v>
      </c>
    </row>
    <row r="5" spans="1:37" ht="15" customHeight="1">
      <c r="A5" t="s">
        <v>36</v>
      </c>
      <c r="B5" t="s">
        <v>37</v>
      </c>
      <c r="G5" s="14">
        <v>587</v>
      </c>
      <c r="H5" s="24">
        <v>46167</v>
      </c>
      <c r="I5" s="25">
        <f>IF(AND(H5&lt;&gt;"",J5&lt;&gt;""),H5+J5,"")</f>
        <v>46170</v>
      </c>
      <c r="J5">
        <v>3</v>
      </c>
      <c r="K5" s="26">
        <v>1</v>
      </c>
      <c r="L5" t="str">
        <f>IF(K5=1,"Completado",IF(K5=0.5,"Falta",IF(K5=0,"Pendiente","En Proceso")))</f>
        <v>Completado</v>
      </c>
      <c r="M5" s="27" t="str">
        <f>IF(K5=1,"OK",IF(K5=0,"Pendiente","En Proceso"))</f>
        <v>OK</v>
      </c>
    </row>
    <row r="6" spans="1:37" ht="15" customHeight="1">
      <c r="A6" t="s">
        <v>38</v>
      </c>
      <c r="B6" t="s">
        <v>39</v>
      </c>
      <c r="G6" s="14">
        <v>587</v>
      </c>
      <c r="H6" s="24">
        <v>46175</v>
      </c>
      <c r="I6" s="25">
        <f>IF(AND(H6&lt;&gt;"",J6&lt;&gt;""),H6+J6,"")</f>
        <v>46200</v>
      </c>
      <c r="J6">
        <v>25</v>
      </c>
      <c r="K6" s="26">
        <v>1</v>
      </c>
      <c r="L6" t="str">
        <f>IF(K6=1,"Completado",IF(K6=0.5,"Falta",IF(K6=0,"Pendiente","En Proceso")))</f>
        <v>Completado</v>
      </c>
      <c r="M6" s="27" t="str">
        <f>IF(K6=1,"OK",IF(K6=0,"Pendiente","En Proceso"))</f>
        <v>OK</v>
      </c>
    </row>
    <row r="7" spans="1:37" ht="15" customHeight="1">
      <c r="B7" t="s">
        <v>40</v>
      </c>
      <c r="G7" s="14">
        <v>255</v>
      </c>
      <c r="H7" s="24">
        <v>46220</v>
      </c>
      <c r="I7" s="25">
        <f>IF(AND(H7&lt;&gt;"",J7&lt;&gt;""),H7+J7,"")</f>
        <v>46270</v>
      </c>
      <c r="J7">
        <v>50</v>
      </c>
      <c r="K7" s="26">
        <v>0.44</v>
      </c>
      <c r="M7" s="27"/>
    </row>
    <row r="8" spans="1:37" ht="15" customHeight="1">
      <c r="A8" s="28" t="s">
        <v>41</v>
      </c>
      <c r="B8" s="29" t="s">
        <v>42</v>
      </c>
      <c r="C8" s="28"/>
      <c r="G8" s="14">
        <v>567</v>
      </c>
      <c r="H8" s="24">
        <v>46162</v>
      </c>
      <c r="I8" s="25">
        <f>IF(AND(H8&lt;&gt;"",J8&lt;&gt;""),H8+J8,"")</f>
        <v>46178</v>
      </c>
      <c r="J8">
        <v>16</v>
      </c>
      <c r="K8" s="26">
        <v>1</v>
      </c>
      <c r="L8" t="str">
        <f>IF(K8=1,"Completado",IF(K8=0.5,"Falta",IF(K8=0,"Pendiente","En Proceso")))</f>
        <v>Completado</v>
      </c>
      <c r="M8" s="27" t="str">
        <f>IF(K8=1,"OK",IF(K8=0,"Pendiente","En Proceso"))</f>
        <v>OK</v>
      </c>
    </row>
    <row r="9" spans="1:37" ht="15" customHeight="1">
      <c r="A9" s="28" t="s">
        <v>41</v>
      </c>
      <c r="B9" s="28" t="s">
        <v>43</v>
      </c>
      <c r="C9" s="28"/>
      <c r="G9" s="14">
        <v>587</v>
      </c>
      <c r="H9" s="24">
        <v>46189</v>
      </c>
      <c r="I9" s="25">
        <f>IF(AND(H9&lt;&gt;"",J9&lt;&gt;""),H9+J9,"")</f>
        <v>46199</v>
      </c>
      <c r="J9">
        <v>10</v>
      </c>
      <c r="K9" s="26">
        <v>1</v>
      </c>
      <c r="L9" t="str">
        <f>IF(K9=1,"Completado",IF(K9=0.5,"Falta",IF(K9=0,"Pendiente","En Proceso")))</f>
        <v>Completado</v>
      </c>
      <c r="M9" s="27" t="str">
        <f>IF(K9=1,"OK",IF(K9=0,"Pendiente","En Proceso"))</f>
        <v>OK</v>
      </c>
    </row>
    <row r="10" spans="1:37" ht="15" customHeight="1">
      <c r="A10" s="28" t="s">
        <v>41</v>
      </c>
      <c r="B10" s="29" t="s">
        <v>44</v>
      </c>
      <c r="C10" s="28"/>
      <c r="G10" s="14">
        <v>200</v>
      </c>
      <c r="H10" s="24">
        <v>46192</v>
      </c>
      <c r="I10" s="25">
        <f>IF(AND(H10&lt;&gt;"",J10&lt;&gt;""),H10+J10,"")</f>
        <v>46199</v>
      </c>
      <c r="J10">
        <v>7</v>
      </c>
      <c r="K10" s="26">
        <v>1</v>
      </c>
      <c r="L10" t="str">
        <f>IF(K10=1,"Completado",IF(K10=0.5,"Falta",IF(K10=0,"Pendiente","En Proceso")))</f>
        <v>Completado</v>
      </c>
      <c r="M10" s="27" t="str">
        <f>IF(K10=1,"OK",IF(K10=0,"Pendiente","En Proceso"))</f>
        <v>OK</v>
      </c>
    </row>
    <row r="11" spans="1:37" ht="15" customHeight="1">
      <c r="A11" t="s">
        <v>41</v>
      </c>
      <c r="B11" t="s">
        <v>45</v>
      </c>
      <c r="G11" s="14" t="s">
        <v>46</v>
      </c>
      <c r="H11" s="24">
        <v>46174</v>
      </c>
      <c r="I11" s="25">
        <f>IF(AND(H11&lt;&gt;"",J11&lt;&gt;""),H11+J11,"")</f>
        <v>46269</v>
      </c>
      <c r="J11">
        <v>95</v>
      </c>
      <c r="K11" s="26">
        <v>0</v>
      </c>
      <c r="L11" t="str">
        <f>IF(K11=1,"Completado",IF(K11=0.5,"Falta",IF(K11=0,"Pendiente","En Proceso")))</f>
        <v>Pendiente</v>
      </c>
      <c r="M11" s="27" t="str">
        <f>IF(K11=1,"OK",IF(K11=0,"Pendiente","En Proceso"))</f>
        <v>Pendiente</v>
      </c>
    </row>
    <row r="12" spans="1:37" ht="15" customHeight="1">
      <c r="A12" t="s">
        <v>41</v>
      </c>
      <c r="B12" t="s">
        <v>47</v>
      </c>
      <c r="H12" s="24">
        <v>45940</v>
      </c>
      <c r="I12" s="25">
        <f>IF(AND(H12&lt;&gt;"",J12&lt;&gt;""),H12+J12,"")</f>
        <v>45945</v>
      </c>
      <c r="J12">
        <v>5</v>
      </c>
      <c r="K12" s="26">
        <v>1</v>
      </c>
      <c r="L12" t="str">
        <f>IF(K12=1,"Completado",IF(K12=0.5,"Falta",IF(K12=0,"Pendiente","En Proceso")))</f>
        <v>Completado</v>
      </c>
      <c r="M12" s="27" t="str">
        <f>IF(K12=1,"OK",IF(K12=0,"Pendiente","En Proceso"))</f>
        <v>OK</v>
      </c>
    </row>
    <row r="13" spans="1:37" ht="15" customHeight="1">
      <c r="A13" t="s">
        <v>48</v>
      </c>
      <c r="B13" t="s">
        <v>49</v>
      </c>
      <c r="H13" s="24">
        <v>46241</v>
      </c>
      <c r="I13" s="25">
        <f>IF(AND(H13&lt;&gt;"",J13&lt;&gt;""),H13+J13,"")</f>
        <v>46247</v>
      </c>
      <c r="J13">
        <v>6</v>
      </c>
      <c r="K13" s="26">
        <v>1</v>
      </c>
      <c r="L13" t="str">
        <f>IF(K13=1,"Completado",IF(K13=0.5,"Falta",IF(K13=0,"Pendiente","En Proceso")))</f>
        <v>Completado</v>
      </c>
      <c r="M13" s="27" t="str">
        <f>IF(K13=1,"OK",IF(K13=0,"Pendiente","En Proceso"))</f>
        <v>OK</v>
      </c>
    </row>
    <row r="14" spans="1:37" ht="15" customHeight="1">
      <c r="A14" t="s">
        <v>50</v>
      </c>
      <c r="B14" t="s">
        <v>51</v>
      </c>
      <c r="H14" s="24">
        <v>46241</v>
      </c>
      <c r="I14" s="25">
        <f>IF(AND(H14&lt;&gt;"",J14&lt;&gt;""),H14+J14,"")</f>
        <v>46242</v>
      </c>
      <c r="J14">
        <v>1</v>
      </c>
      <c r="K14" s="26">
        <v>1</v>
      </c>
      <c r="L14" t="str">
        <f>IF(K14=1,"Completado",IF(K14=0.5,"Falta",IF(K14=0,"Pendiente","En Proceso")))</f>
        <v>Completado</v>
      </c>
      <c r="M14" s="27" t="str">
        <f>IF(K14=1,"OK",IF(K14=0,"Pendiente","En Proceso"))</f>
        <v>OK</v>
      </c>
    </row>
    <row r="15" spans="1:37" ht="15" customHeight="1">
      <c r="A15" t="s">
        <v>52</v>
      </c>
      <c r="B15" t="s">
        <v>53</v>
      </c>
      <c r="H15" s="24">
        <v>46244</v>
      </c>
      <c r="I15" s="25">
        <f>IF(AND(H15&lt;&gt;"",J15&lt;&gt;""),H15+J15,"")</f>
        <v>46254</v>
      </c>
      <c r="J15">
        <v>10</v>
      </c>
      <c r="K15" s="26">
        <v>0.17</v>
      </c>
      <c r="L15" t="str">
        <f>IF(K15=1,"Completado",IF(K15=0.5,"Falta",IF(K15=0,"Pendiente","En Proceso")))</f>
        <v>En Proceso</v>
      </c>
      <c r="M15" s="27" t="str">
        <f>IF(K15=1,"OK",IF(K15=0,"Pendiente","En Proceso"))</f>
        <v>En Proceso</v>
      </c>
    </row>
    <row r="16" spans="1:37" ht="15" customHeight="1">
      <c r="A16" t="s">
        <v>54</v>
      </c>
      <c r="B16" t="s">
        <v>55</v>
      </c>
      <c r="H16" s="24">
        <v>46258</v>
      </c>
      <c r="I16" s="25">
        <f>IF(AND(H16&lt;&gt;"",J16&lt;&gt;""),H16+J16,"")</f>
        <v>46323</v>
      </c>
      <c r="J16">
        <v>65</v>
      </c>
      <c r="K16" s="26">
        <v>0</v>
      </c>
      <c r="L16" t="str">
        <f>IF(K16=1,"Completado",IF(K16=0.5,"Falta",IF(K16=0,"Pendiente","En Proceso")))</f>
        <v>Pendiente</v>
      </c>
      <c r="M16" s="27" t="str">
        <f>IF(K16=1,"OK",IF(K16=0,"Pendiente","En Proceso"))</f>
        <v>Pendiente</v>
      </c>
    </row>
    <row r="17" spans="1:11" ht="15" customHeight="1">
      <c r="A17" s="30" t="s">
        <v>56</v>
      </c>
      <c r="K17" s="31">
        <f>AVERAGE(K5:K16)</f>
        <v>0.71749999999999992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5"/>
  <sheetViews>
    <sheetView zoomScaleNormal="100" workbookViewId="0">
      <pane ySplit="4" topLeftCell="A5" activePane="bottomLeft" state="frozen"/>
      <selection pane="bottomLeft" activeCell="J32" sqref="J32"/>
    </sheetView>
  </sheetViews>
  <sheetFormatPr defaultColWidth="8.7109375" defaultRowHeight="15"/>
  <cols>
    <col min="1" max="1" width="7" customWidth="1"/>
    <col min="2" max="2" width="12" customWidth="1"/>
    <col min="3" max="4" width="10.140625" customWidth="1"/>
    <col min="5" max="6" width="8" customWidth="1"/>
    <col min="7" max="7" width="16.7109375" customWidth="1"/>
    <col min="8" max="8" width="10.140625" customWidth="1"/>
    <col min="9" max="9" width="12" customWidth="1"/>
    <col min="10" max="11" width="14" customWidth="1"/>
    <col min="12" max="12" width="11.7109375" customWidth="1"/>
    <col min="13" max="13" width="7.85546875" customWidth="1"/>
    <col min="14" max="15" width="6" customWidth="1"/>
    <col min="16" max="25" width="5.5703125" customWidth="1"/>
    <col min="26" max="36" width="2.42578125" customWidth="1"/>
  </cols>
  <sheetData>
    <row r="1" spans="1:36" ht="27.75" customHeight="1">
      <c r="A1" s="53" t="s">
        <v>57</v>
      </c>
      <c r="B1" s="53"/>
      <c r="C1" s="53"/>
      <c r="D1" s="53"/>
      <c r="E1" s="53"/>
      <c r="F1" s="53"/>
      <c r="N1" s="54" t="s">
        <v>58</v>
      </c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</row>
    <row r="2" spans="1:36" ht="24" customHeight="1">
      <c r="A2" s="3" t="s">
        <v>10</v>
      </c>
      <c r="B2" s="6">
        <v>46244</v>
      </c>
      <c r="C2" s="3" t="s">
        <v>26</v>
      </c>
      <c r="D2" s="32">
        <v>46256</v>
      </c>
      <c r="M2" s="18">
        <f>AVERAGE(J5:J33)</f>
        <v>0.77586206896551724</v>
      </c>
      <c r="N2" s="55">
        <f>AVERAGE(J5:J32)</f>
        <v>0.8035714285714286</v>
      </c>
      <c r="O2" s="55"/>
      <c r="P2" s="55"/>
      <c r="Q2" s="2" t="s">
        <v>2</v>
      </c>
      <c r="R2" s="2" t="s">
        <v>2</v>
      </c>
      <c r="S2" s="2" t="s">
        <v>2</v>
      </c>
      <c r="T2" s="2" t="s">
        <v>2</v>
      </c>
      <c r="U2" s="2" t="s">
        <v>2</v>
      </c>
      <c r="V2" s="2" t="s">
        <v>2</v>
      </c>
      <c r="W2" s="2" t="s">
        <v>2</v>
      </c>
      <c r="X2" s="2" t="s">
        <v>2</v>
      </c>
      <c r="Y2" s="2" t="s">
        <v>2</v>
      </c>
      <c r="Z2" s="2" t="s">
        <v>2</v>
      </c>
      <c r="AA2" s="2" t="s">
        <v>2</v>
      </c>
      <c r="AB2" s="2" t="s">
        <v>2</v>
      </c>
      <c r="AC2" s="2" t="s">
        <v>2</v>
      </c>
      <c r="AD2" s="2" t="s">
        <v>2</v>
      </c>
      <c r="AE2" s="2" t="s">
        <v>2</v>
      </c>
      <c r="AF2" s="2" t="s">
        <v>2</v>
      </c>
      <c r="AG2" s="2" t="s">
        <v>2</v>
      </c>
      <c r="AH2" s="2" t="s">
        <v>2</v>
      </c>
      <c r="AI2" s="2" t="s">
        <v>2</v>
      </c>
      <c r="AJ2" s="2" t="s">
        <v>2</v>
      </c>
    </row>
    <row r="3" spans="1:36" ht="12.75" customHeight="1">
      <c r="N3" s="55"/>
      <c r="O3" s="55"/>
      <c r="P3" s="55"/>
      <c r="Q3" s="2"/>
      <c r="R3" s="2"/>
      <c r="S3" s="2"/>
      <c r="T3" s="5" t="s">
        <v>5</v>
      </c>
      <c r="U3" s="2"/>
      <c r="V3" s="2"/>
      <c r="W3" s="2"/>
      <c r="X3" s="5" t="s">
        <v>6</v>
      </c>
      <c r="Y3" s="2"/>
      <c r="Z3" s="2"/>
      <c r="AA3" s="2"/>
      <c r="AB3" s="5" t="s">
        <v>7</v>
      </c>
      <c r="AC3" s="2"/>
      <c r="AD3" s="2"/>
      <c r="AE3" s="2"/>
      <c r="AF3" s="5" t="s">
        <v>8</v>
      </c>
      <c r="AG3" s="2"/>
      <c r="AH3" s="2"/>
      <c r="AI3" s="2"/>
      <c r="AJ3" s="5" t="s">
        <v>9</v>
      </c>
    </row>
    <row r="4" spans="1:36" ht="30" customHeight="1">
      <c r="A4" s="7" t="s">
        <v>27</v>
      </c>
      <c r="B4" s="7" t="s">
        <v>59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31</v>
      </c>
      <c r="H4" s="7" t="s">
        <v>32</v>
      </c>
      <c r="I4" s="7" t="s">
        <v>33</v>
      </c>
      <c r="J4" s="7" t="s">
        <v>18</v>
      </c>
      <c r="K4" s="7" t="s">
        <v>34</v>
      </c>
      <c r="L4" s="33" t="s">
        <v>60</v>
      </c>
    </row>
    <row r="5" spans="1:36" ht="18" customHeight="1">
      <c r="A5" s="34" t="s">
        <v>61</v>
      </c>
      <c r="B5" s="35">
        <v>1</v>
      </c>
      <c r="C5" s="35"/>
      <c r="D5" s="36">
        <f>(F5+E5)</f>
        <v>2</v>
      </c>
      <c r="E5" s="35">
        <v>1</v>
      </c>
      <c r="F5" s="35">
        <v>1</v>
      </c>
      <c r="G5" s="42">
        <v>46253</v>
      </c>
      <c r="H5" s="38">
        <f>IF(AND(G5&lt;&gt;"",I5&lt;&gt;""),G5+I5,"")</f>
        <v>46254</v>
      </c>
      <c r="I5" s="35">
        <v>1</v>
      </c>
      <c r="J5" s="39">
        <v>0.9</v>
      </c>
      <c r="K5" s="52" t="str">
        <f t="shared" ref="K5:K33" si="0">IF(J5=1,"Completado",IF(J5=0.9,"Falta LH",IF(J5=0,"Pendiente","En Proceso")))</f>
        <v>Falta LH</v>
      </c>
      <c r="L5" s="40" t="str">
        <f>IF(J5=1,"Operativa",IF(J5=0,"Pendiente","En Proceso"))</f>
        <v>En Proceso</v>
      </c>
    </row>
    <row r="6" spans="1:36" ht="18" customHeight="1">
      <c r="A6" s="8" t="s">
        <v>62</v>
      </c>
      <c r="B6" s="41">
        <v>3</v>
      </c>
      <c r="C6" s="41"/>
      <c r="D6" s="36">
        <f>(F6+E6)</f>
        <v>3</v>
      </c>
      <c r="E6" s="41">
        <v>1</v>
      </c>
      <c r="F6" s="41">
        <v>2</v>
      </c>
      <c r="G6" s="42">
        <v>46255</v>
      </c>
      <c r="H6" s="38">
        <v>46255</v>
      </c>
      <c r="I6" s="41">
        <v>1</v>
      </c>
      <c r="J6" s="39">
        <v>0.9</v>
      </c>
      <c r="K6" s="52" t="str">
        <f t="shared" si="0"/>
        <v>Falta LH</v>
      </c>
      <c r="L6" s="40" t="str">
        <f>IF(J6=1,"Operativa",IF(J6=0,"Pendiente","En Proceso"))</f>
        <v>En Proceso</v>
      </c>
    </row>
    <row r="7" spans="1:36" ht="18" customHeight="1">
      <c r="A7" s="34" t="s">
        <v>63</v>
      </c>
      <c r="B7" s="35">
        <v>4</v>
      </c>
      <c r="C7" s="35"/>
      <c r="D7" s="36">
        <f>(F7+E7)</f>
        <v>12</v>
      </c>
      <c r="E7" s="35">
        <v>1</v>
      </c>
      <c r="F7" s="35">
        <v>11</v>
      </c>
      <c r="G7" s="37">
        <v>46253</v>
      </c>
      <c r="H7" s="38">
        <f>IF(AND(G7&lt;&gt;"",I7&lt;&gt;""),G7+I7,"")</f>
        <v>46255</v>
      </c>
      <c r="I7" s="35">
        <v>2</v>
      </c>
      <c r="J7" s="39">
        <v>0.9</v>
      </c>
      <c r="K7" s="52" t="str">
        <f t="shared" si="0"/>
        <v>Falta LH</v>
      </c>
      <c r="L7" s="40" t="str">
        <f>IF(J7=1,"Operativa",IF(J7=0,"Pendiente","En Proceso"))</f>
        <v>En Proceso</v>
      </c>
    </row>
    <row r="8" spans="1:36" ht="18" customHeight="1">
      <c r="A8" s="8" t="s">
        <v>64</v>
      </c>
      <c r="B8" s="41">
        <v>5</v>
      </c>
      <c r="C8" s="41"/>
      <c r="D8" s="36">
        <f>(F8+E8)</f>
        <v>16</v>
      </c>
      <c r="E8" s="41">
        <v>1</v>
      </c>
      <c r="F8" s="41">
        <v>15</v>
      </c>
      <c r="G8" s="42">
        <v>46254</v>
      </c>
      <c r="H8" s="38">
        <f>IF(AND(G8&lt;&gt;"",I8&lt;&gt;""),G8+I8,"")</f>
        <v>46257</v>
      </c>
      <c r="I8" s="41">
        <v>3</v>
      </c>
      <c r="J8" s="39">
        <v>0.9</v>
      </c>
      <c r="K8" s="52" t="str">
        <f t="shared" si="0"/>
        <v>Falta LH</v>
      </c>
      <c r="L8" s="40" t="str">
        <f>IF(J8=1,"Operativa",IF(J8=0,"Pendiente","En Proceso"))</f>
        <v>En Proceso</v>
      </c>
    </row>
    <row r="9" spans="1:36" ht="18" customHeight="1">
      <c r="A9" s="34" t="s">
        <v>65</v>
      </c>
      <c r="B9" s="35">
        <v>7</v>
      </c>
      <c r="C9" s="35"/>
      <c r="D9" s="36">
        <f>(F9+E9)</f>
        <v>9</v>
      </c>
      <c r="E9" s="35">
        <v>1</v>
      </c>
      <c r="F9" s="35">
        <v>8</v>
      </c>
      <c r="G9" s="42">
        <v>46254</v>
      </c>
      <c r="H9" s="38">
        <f>IF(AND(G9&lt;&gt;"",I9&lt;&gt;""),G9+I9,"")</f>
        <v>46255</v>
      </c>
      <c r="I9" s="35">
        <v>1</v>
      </c>
      <c r="J9" s="39">
        <v>0.9</v>
      </c>
      <c r="K9" s="52" t="str">
        <f t="shared" si="0"/>
        <v>Falta LH</v>
      </c>
      <c r="L9" s="40" t="str">
        <f>IF(J9=1,"Operativa",IF(J9=0,"Pendiente","En Proceso"))</f>
        <v>En Proceso</v>
      </c>
    </row>
    <row r="10" spans="1:36" ht="18" customHeight="1">
      <c r="A10" s="8" t="s">
        <v>66</v>
      </c>
      <c r="B10" s="41">
        <v>9</v>
      </c>
      <c r="C10" s="41"/>
      <c r="D10" s="36">
        <f>(F10+E10)</f>
        <v>10</v>
      </c>
      <c r="E10" s="41">
        <v>1</v>
      </c>
      <c r="F10" s="41">
        <v>9</v>
      </c>
      <c r="G10" s="42">
        <v>46253</v>
      </c>
      <c r="H10" s="38">
        <f>IF(AND(G10&lt;&gt;"",I10&lt;&gt;""),G10+I10,"")</f>
        <v>46254</v>
      </c>
      <c r="I10" s="41">
        <v>1</v>
      </c>
      <c r="J10" s="39">
        <v>0.9</v>
      </c>
      <c r="K10" s="52" t="str">
        <f t="shared" si="0"/>
        <v>Falta LH</v>
      </c>
      <c r="L10" s="40" t="str">
        <f>IF(J10=1,"Operativa",IF(J10=0,"Pendiente","En Proceso"))</f>
        <v>En Proceso</v>
      </c>
    </row>
    <row r="11" spans="1:36" ht="18" customHeight="1">
      <c r="A11" s="34" t="s">
        <v>67</v>
      </c>
      <c r="B11" s="35">
        <v>12</v>
      </c>
      <c r="C11" s="35"/>
      <c r="D11" s="36">
        <f>(F11+E11)</f>
        <v>8</v>
      </c>
      <c r="E11" s="35">
        <v>1</v>
      </c>
      <c r="F11" s="35">
        <v>7</v>
      </c>
      <c r="G11" s="42">
        <v>46254</v>
      </c>
      <c r="H11" s="38">
        <f>IF(AND(G11&lt;&gt;"",I11&lt;&gt;""),G11+I11,"")</f>
        <v>46255</v>
      </c>
      <c r="I11" s="35">
        <v>1</v>
      </c>
      <c r="J11" s="39">
        <v>0.9</v>
      </c>
      <c r="K11" s="52" t="str">
        <f t="shared" si="0"/>
        <v>Falta LH</v>
      </c>
      <c r="L11" s="40" t="str">
        <f>IF(J11=1,"Operativa",IF(J11=0,"Pendiente","En Proceso"))</f>
        <v>En Proceso</v>
      </c>
    </row>
    <row r="12" spans="1:36" ht="18" customHeight="1">
      <c r="A12" s="8" t="s">
        <v>68</v>
      </c>
      <c r="B12" s="41">
        <v>13</v>
      </c>
      <c r="C12" s="41"/>
      <c r="D12" s="36">
        <f>(F12+E12)</f>
        <v>5</v>
      </c>
      <c r="E12" s="41">
        <v>1</v>
      </c>
      <c r="F12" s="41">
        <v>4</v>
      </c>
      <c r="G12" s="42">
        <v>46253</v>
      </c>
      <c r="H12" s="38">
        <f>IF(AND(G12&lt;&gt;"",I12&lt;&gt;""),G12+I12,"")</f>
        <v>46254</v>
      </c>
      <c r="I12" s="41">
        <v>1</v>
      </c>
      <c r="J12" s="39">
        <v>0.9</v>
      </c>
      <c r="K12" s="52" t="str">
        <f t="shared" si="0"/>
        <v>Falta LH</v>
      </c>
      <c r="L12" s="40" t="str">
        <f>IF(J12=1,"Operativa",IF(J12=0,"Pendiente","En Proceso"))</f>
        <v>En Proceso</v>
      </c>
    </row>
    <row r="13" spans="1:36" ht="18" customHeight="1">
      <c r="A13" s="34" t="s">
        <v>69</v>
      </c>
      <c r="B13" s="35">
        <v>14</v>
      </c>
      <c r="C13" s="35"/>
      <c r="D13" s="36">
        <f>(F13+E13)</f>
        <v>6</v>
      </c>
      <c r="E13" s="35">
        <v>1</v>
      </c>
      <c r="F13" s="35">
        <v>5</v>
      </c>
      <c r="G13" s="42">
        <v>46244</v>
      </c>
      <c r="H13" s="38">
        <f>IF(AND(G13&lt;&gt;"",I13&lt;&gt;""),G13+I13,"")</f>
        <v>46245</v>
      </c>
      <c r="I13" s="35">
        <v>1</v>
      </c>
      <c r="J13" s="39">
        <v>0.9</v>
      </c>
      <c r="K13" s="52" t="str">
        <f t="shared" si="0"/>
        <v>Falta LH</v>
      </c>
      <c r="L13" s="40" t="str">
        <f>IF(J13=1,"Operativa",IF(J13=0,"Pendiente","En Proceso"))</f>
        <v>En Proceso</v>
      </c>
    </row>
    <row r="14" spans="1:36" ht="18" customHeight="1">
      <c r="A14" s="8" t="s">
        <v>70</v>
      </c>
      <c r="B14" s="41">
        <v>15</v>
      </c>
      <c r="C14" s="41"/>
      <c r="D14" s="36">
        <f>(F14+E14)</f>
        <v>6</v>
      </c>
      <c r="E14" s="41">
        <v>1</v>
      </c>
      <c r="F14" s="41">
        <v>5</v>
      </c>
      <c r="G14" s="37">
        <v>46253</v>
      </c>
      <c r="H14" s="38">
        <f>IF(AND(G14&lt;&gt;"",I14&lt;&gt;""),G14+I14,"")</f>
        <v>46255</v>
      </c>
      <c r="I14" s="41">
        <v>2</v>
      </c>
      <c r="J14" s="39">
        <v>0.9</v>
      </c>
      <c r="K14" s="52" t="str">
        <f t="shared" si="0"/>
        <v>Falta LH</v>
      </c>
      <c r="L14" s="40" t="str">
        <f>IF(J14=1,"Operativa",IF(J14=0,"Pendiente","En Proceso"))</f>
        <v>En Proceso</v>
      </c>
    </row>
    <row r="15" spans="1:36" ht="18" customHeight="1">
      <c r="A15" s="34" t="s">
        <v>71</v>
      </c>
      <c r="B15" s="35">
        <v>16</v>
      </c>
      <c r="C15" s="35"/>
      <c r="D15" s="36">
        <f>(F15+E15)</f>
        <v>4</v>
      </c>
      <c r="E15" s="35">
        <v>1</v>
      </c>
      <c r="F15" s="35">
        <v>3</v>
      </c>
      <c r="G15" s="42">
        <v>46255</v>
      </c>
      <c r="H15" s="38">
        <v>46255</v>
      </c>
      <c r="I15" s="35">
        <v>1</v>
      </c>
      <c r="J15" s="39">
        <v>0.9</v>
      </c>
      <c r="K15" s="52" t="str">
        <f t="shared" si="0"/>
        <v>Falta LH</v>
      </c>
      <c r="L15" s="40" t="str">
        <f>IF(J15=1,"Operativa",IF(J15=0,"Pendiente","En Proceso"))</f>
        <v>En Proceso</v>
      </c>
    </row>
    <row r="16" spans="1:36" ht="18" customHeight="1">
      <c r="A16" s="8" t="s">
        <v>72</v>
      </c>
      <c r="B16" s="41">
        <v>18</v>
      </c>
      <c r="C16" s="41"/>
      <c r="D16" s="36">
        <f>(F16+E16)</f>
        <v>4</v>
      </c>
      <c r="E16" s="41">
        <v>1</v>
      </c>
      <c r="F16" s="41">
        <v>3</v>
      </c>
      <c r="G16" s="42">
        <v>46254</v>
      </c>
      <c r="H16" s="38">
        <f>IF(AND(G16&lt;&gt;"",I16&lt;&gt;""),G16+I16,"")</f>
        <v>46255</v>
      </c>
      <c r="I16" s="41">
        <v>1</v>
      </c>
      <c r="J16" s="39">
        <v>0.9</v>
      </c>
      <c r="K16" s="52" t="str">
        <f t="shared" si="0"/>
        <v>Falta LH</v>
      </c>
      <c r="L16" s="40" t="str">
        <f>IF(J16=1,"Operativa",IF(J16=0,"Pendiente","En Proceso"))</f>
        <v>En Proceso</v>
      </c>
    </row>
    <row r="17" spans="1:12" ht="18" customHeight="1">
      <c r="A17" s="34" t="s">
        <v>73</v>
      </c>
      <c r="B17" s="35">
        <v>19</v>
      </c>
      <c r="C17" s="35"/>
      <c r="D17" s="36">
        <f>(F17+E17)</f>
        <v>3</v>
      </c>
      <c r="E17" s="35">
        <v>1</v>
      </c>
      <c r="F17" s="35">
        <v>2</v>
      </c>
      <c r="G17" s="42">
        <v>46255</v>
      </c>
      <c r="H17" s="38">
        <v>46255</v>
      </c>
      <c r="I17" s="35">
        <v>1</v>
      </c>
      <c r="J17" s="39">
        <v>1</v>
      </c>
      <c r="K17" s="52" t="str">
        <f t="shared" si="0"/>
        <v>Completado</v>
      </c>
      <c r="L17" s="40" t="str">
        <f>IF(J17=1,"Operativa",IF(J17=0,"Pendiente","En Proceso"))</f>
        <v>Operativa</v>
      </c>
    </row>
    <row r="18" spans="1:12" ht="18" customHeight="1">
      <c r="A18" s="8" t="s">
        <v>74</v>
      </c>
      <c r="B18" s="41">
        <v>21</v>
      </c>
      <c r="C18" s="41"/>
      <c r="D18" s="36">
        <f>(F18+E18)</f>
        <v>9</v>
      </c>
      <c r="E18" s="41">
        <v>1</v>
      </c>
      <c r="F18" s="41">
        <v>8</v>
      </c>
      <c r="G18" s="42">
        <v>46254</v>
      </c>
      <c r="H18" s="38">
        <f>IF(AND(G18&lt;&gt;"",I18&lt;&gt;""),G18+I18,"")</f>
        <v>46256</v>
      </c>
      <c r="I18" s="41">
        <v>2</v>
      </c>
      <c r="J18" s="39">
        <v>0.9</v>
      </c>
      <c r="K18" s="52" t="str">
        <f t="shared" si="0"/>
        <v>Falta LH</v>
      </c>
      <c r="L18" s="40" t="str">
        <f>IF(J18=1,"Operativa",IF(J18=0,"Pendiente","En Proceso"))</f>
        <v>En Proceso</v>
      </c>
    </row>
    <row r="19" spans="1:12" ht="18" customHeight="1">
      <c r="A19" s="34" t="s">
        <v>75</v>
      </c>
      <c r="B19" s="35">
        <v>24</v>
      </c>
      <c r="C19" s="35"/>
      <c r="D19" s="36">
        <f>(F19+E19)</f>
        <v>4</v>
      </c>
      <c r="E19" s="35">
        <v>1</v>
      </c>
      <c r="F19" s="35">
        <v>3</v>
      </c>
      <c r="G19" s="42">
        <v>46254</v>
      </c>
      <c r="H19" s="38">
        <f>IF(AND(G19&lt;&gt;"",I19&lt;&gt;""),G19+I19,"")</f>
        <v>46255</v>
      </c>
      <c r="I19" s="35">
        <v>1</v>
      </c>
      <c r="J19" s="39">
        <v>0.5</v>
      </c>
      <c r="K19" s="52" t="str">
        <f t="shared" si="0"/>
        <v>En Proceso</v>
      </c>
      <c r="L19" s="40" t="str">
        <f>IF(J19=1,"Operativa",IF(J19=0,"Pendiente","En Proceso"))</f>
        <v>En Proceso</v>
      </c>
    </row>
    <row r="20" spans="1:12" ht="18" customHeight="1">
      <c r="A20" s="8" t="s">
        <v>76</v>
      </c>
      <c r="B20" s="41">
        <v>25</v>
      </c>
      <c r="C20" s="41">
        <v>25</v>
      </c>
      <c r="D20" s="36">
        <f>(F20+E20)</f>
        <v>5</v>
      </c>
      <c r="E20" s="41">
        <v>1</v>
      </c>
      <c r="F20" s="41">
        <v>4</v>
      </c>
      <c r="G20" s="42">
        <v>46253</v>
      </c>
      <c r="H20" s="38">
        <f>IF(AND(G20&lt;&gt;"",I20&lt;&gt;""),G20+I20,"")</f>
        <v>46254</v>
      </c>
      <c r="I20" s="41">
        <v>1</v>
      </c>
      <c r="J20" s="39">
        <v>0.5</v>
      </c>
      <c r="K20" s="52" t="str">
        <f t="shared" si="0"/>
        <v>En Proceso</v>
      </c>
      <c r="L20" s="40" t="str">
        <f>IF(J20=1,"Operativa",IF(J20=0,"Pendiente","En Proceso"))</f>
        <v>En Proceso</v>
      </c>
    </row>
    <row r="21" spans="1:12" ht="18" customHeight="1">
      <c r="A21" s="34" t="s">
        <v>77</v>
      </c>
      <c r="B21" s="35">
        <v>26</v>
      </c>
      <c r="C21" s="35"/>
      <c r="D21" s="36">
        <f>(F21+E21)</f>
        <v>10</v>
      </c>
      <c r="E21" s="35">
        <v>1</v>
      </c>
      <c r="F21" s="35">
        <v>9</v>
      </c>
      <c r="G21" s="42">
        <v>46255</v>
      </c>
      <c r="H21" s="38">
        <v>46255</v>
      </c>
      <c r="I21" s="35">
        <v>2</v>
      </c>
      <c r="J21" s="39">
        <v>0.9</v>
      </c>
      <c r="K21" s="52" t="str">
        <f t="shared" si="0"/>
        <v>Falta LH</v>
      </c>
      <c r="L21" s="40" t="str">
        <f>IF(J21=1,"Operativa",IF(J21=0,"Pendiente","En Proceso"))</f>
        <v>En Proceso</v>
      </c>
    </row>
    <row r="22" spans="1:12" ht="18" customHeight="1">
      <c r="A22" s="8" t="s">
        <v>78</v>
      </c>
      <c r="B22" s="41">
        <v>27</v>
      </c>
      <c r="C22" s="41"/>
      <c r="D22" s="36">
        <f>(F22+E22)</f>
        <v>4</v>
      </c>
      <c r="E22" s="41">
        <v>1</v>
      </c>
      <c r="F22" s="41">
        <v>3</v>
      </c>
      <c r="G22" s="42">
        <v>46254</v>
      </c>
      <c r="H22" s="38">
        <f>IF(AND(G22&lt;&gt;"",I22&lt;&gt;""),G22+I22,"")</f>
        <v>46255</v>
      </c>
      <c r="I22" s="35">
        <v>1</v>
      </c>
      <c r="J22" s="39">
        <v>0.9</v>
      </c>
      <c r="K22" s="52" t="str">
        <f t="shared" si="0"/>
        <v>Falta LH</v>
      </c>
      <c r="L22" s="40" t="str">
        <f>IF(J22=1,"Operativa",IF(J22=0,"Pendiente","En Proceso"))</f>
        <v>En Proceso</v>
      </c>
    </row>
    <row r="23" spans="1:12" ht="18" customHeight="1">
      <c r="A23" s="34" t="s">
        <v>79</v>
      </c>
      <c r="B23" s="35">
        <v>28</v>
      </c>
      <c r="C23" s="35"/>
      <c r="D23" s="36">
        <f>(F23+E23)</f>
        <v>6</v>
      </c>
      <c r="E23" s="35">
        <v>1</v>
      </c>
      <c r="F23" s="35">
        <v>5</v>
      </c>
      <c r="G23" s="42">
        <v>46253</v>
      </c>
      <c r="H23" s="38">
        <f>IF(AND(G23&lt;&gt;"",I23&lt;&gt;""),G23+I23,"")</f>
        <v>46254</v>
      </c>
      <c r="I23" s="35">
        <v>1</v>
      </c>
      <c r="J23" s="39">
        <v>0.5</v>
      </c>
      <c r="K23" s="52" t="str">
        <f t="shared" si="0"/>
        <v>En Proceso</v>
      </c>
      <c r="L23" s="40" t="str">
        <f>IF(J23=1,"Operativa",IF(J23=0,"Pendiente","En Proceso"))</f>
        <v>En Proceso</v>
      </c>
    </row>
    <row r="24" spans="1:12" ht="18" customHeight="1">
      <c r="A24" s="8" t="s">
        <v>80</v>
      </c>
      <c r="B24" s="41">
        <v>29</v>
      </c>
      <c r="C24" s="41"/>
      <c r="D24" s="36">
        <f>(F24+E24)</f>
        <v>3</v>
      </c>
      <c r="E24" s="41">
        <v>1</v>
      </c>
      <c r="F24" s="41">
        <v>2</v>
      </c>
      <c r="G24" s="42">
        <v>46255</v>
      </c>
      <c r="H24" s="38">
        <v>46255</v>
      </c>
      <c r="I24" s="35">
        <v>1</v>
      </c>
      <c r="J24" s="39">
        <v>0.5</v>
      </c>
      <c r="K24" s="52" t="str">
        <f t="shared" si="0"/>
        <v>En Proceso</v>
      </c>
      <c r="L24" s="40" t="str">
        <f>IF(J24=1,"Operativa",IF(J24=0,"Pendiente","En Proceso"))</f>
        <v>En Proceso</v>
      </c>
    </row>
    <row r="25" spans="1:12" ht="18" customHeight="1">
      <c r="A25" s="34" t="s">
        <v>81</v>
      </c>
      <c r="B25" s="35">
        <v>30</v>
      </c>
      <c r="C25" s="35"/>
      <c r="D25" s="36">
        <f>(F25+E25)</f>
        <v>2</v>
      </c>
      <c r="E25" s="35">
        <v>1</v>
      </c>
      <c r="F25" s="35">
        <v>1</v>
      </c>
      <c r="G25" s="42">
        <v>46255</v>
      </c>
      <c r="H25" s="38">
        <v>46255</v>
      </c>
      <c r="I25" s="35">
        <v>1</v>
      </c>
      <c r="J25" s="39">
        <v>0.9</v>
      </c>
      <c r="K25" s="52" t="str">
        <f t="shared" si="0"/>
        <v>Falta LH</v>
      </c>
      <c r="L25" s="40" t="str">
        <f>IF(J25=1,"Operativa",IF(J25=0,"Pendiente","En Proceso"))</f>
        <v>En Proceso</v>
      </c>
    </row>
    <row r="26" spans="1:12" ht="18" customHeight="1">
      <c r="A26" s="8" t="s">
        <v>82</v>
      </c>
      <c r="B26" s="41">
        <v>91</v>
      </c>
      <c r="C26" s="41"/>
      <c r="D26" s="36">
        <f>(F26+E26)</f>
        <v>5</v>
      </c>
      <c r="E26" s="41">
        <v>1</v>
      </c>
      <c r="F26" s="41">
        <v>4</v>
      </c>
      <c r="G26" s="42">
        <v>46244</v>
      </c>
      <c r="H26" s="38">
        <f>IF(AND(G26&lt;&gt;"",I26&lt;&gt;""),G26+I26,"")</f>
        <v>46245</v>
      </c>
      <c r="I26" s="35">
        <v>1</v>
      </c>
      <c r="J26" s="39">
        <v>0.9</v>
      </c>
      <c r="K26" s="52" t="str">
        <f t="shared" si="0"/>
        <v>Falta LH</v>
      </c>
      <c r="L26" s="40" t="str">
        <f>IF(J26=1,"Operativa",IF(J26=0,"Pendiente","En Proceso"))</f>
        <v>En Proceso</v>
      </c>
    </row>
    <row r="27" spans="1:12" ht="18" customHeight="1">
      <c r="A27" s="8" t="s">
        <v>83</v>
      </c>
      <c r="B27" s="41">
        <v>95</v>
      </c>
      <c r="C27" s="41"/>
      <c r="D27" s="36">
        <f>(F27+E27)</f>
        <v>2</v>
      </c>
      <c r="E27" s="41">
        <v>1</v>
      </c>
      <c r="F27" s="41">
        <v>1</v>
      </c>
      <c r="G27" s="37">
        <v>46255</v>
      </c>
      <c r="H27" s="38">
        <f>IF(AND(G27&lt;&gt;"",I27&lt;&gt;""),G27+I27,"")</f>
        <v>46256</v>
      </c>
      <c r="I27" s="35">
        <v>1</v>
      </c>
      <c r="J27" s="39">
        <v>1</v>
      </c>
      <c r="K27" s="52" t="str">
        <f t="shared" si="0"/>
        <v>Completado</v>
      </c>
      <c r="L27" s="40" t="str">
        <f>IF(J27=1,"Operativa",IF(J27=0,"Pendiente","En Proceso"))</f>
        <v>Operativa</v>
      </c>
    </row>
    <row r="28" spans="1:12" ht="18" customHeight="1">
      <c r="A28" s="8" t="s">
        <v>84</v>
      </c>
      <c r="B28" s="35">
        <v>103</v>
      </c>
      <c r="C28" s="35"/>
      <c r="D28" s="36">
        <f>(F28+E28)</f>
        <v>6</v>
      </c>
      <c r="E28" s="35">
        <v>1</v>
      </c>
      <c r="F28" s="35">
        <v>5</v>
      </c>
      <c r="G28" s="42">
        <v>46255</v>
      </c>
      <c r="H28" s="38">
        <v>46255</v>
      </c>
      <c r="I28" s="35">
        <v>2</v>
      </c>
      <c r="J28" s="39">
        <v>0.5</v>
      </c>
      <c r="K28" s="52" t="str">
        <f t="shared" si="0"/>
        <v>En Proceso</v>
      </c>
      <c r="L28" s="40" t="str">
        <f>IF(J28=1,"Operativa",IF(J28=0,"Pendiente","En Proceso"))</f>
        <v>En Proceso</v>
      </c>
    </row>
    <row r="29" spans="1:12" ht="18" customHeight="1">
      <c r="A29" s="8" t="s">
        <v>85</v>
      </c>
      <c r="B29" s="41">
        <v>105</v>
      </c>
      <c r="C29" s="41"/>
      <c r="D29" s="36">
        <f>(F29+E29)</f>
        <v>4</v>
      </c>
      <c r="E29" s="41">
        <v>1</v>
      </c>
      <c r="F29" s="41">
        <v>3</v>
      </c>
      <c r="G29" s="42">
        <v>46246</v>
      </c>
      <c r="H29" s="38">
        <f>IF(AND(G29&lt;&gt;"",I29&lt;&gt;""),G29+I29,"")</f>
        <v>46247</v>
      </c>
      <c r="I29" s="35">
        <v>1</v>
      </c>
      <c r="J29" s="39">
        <v>0.9</v>
      </c>
      <c r="K29" s="52" t="str">
        <f t="shared" si="0"/>
        <v>Falta LH</v>
      </c>
      <c r="L29" s="40" t="str">
        <f>IF(J29=1,"Operativa",IF(J29=0,"Pendiente","En Proceso"))</f>
        <v>En Proceso</v>
      </c>
    </row>
    <row r="30" spans="1:12" ht="18" customHeight="1">
      <c r="A30" s="8" t="s">
        <v>86</v>
      </c>
      <c r="B30" s="35">
        <v>110</v>
      </c>
      <c r="C30" s="35"/>
      <c r="D30" s="36">
        <f>(F30+E30)</f>
        <v>2</v>
      </c>
      <c r="E30" s="35">
        <v>1</v>
      </c>
      <c r="F30" s="35">
        <v>1</v>
      </c>
      <c r="G30" s="42">
        <v>46255</v>
      </c>
      <c r="H30" s="38">
        <f>IF(AND(G30&lt;&gt;"",I30&lt;&gt;""),G30+I30,"")</f>
        <v>46256</v>
      </c>
      <c r="I30" s="35">
        <v>1</v>
      </c>
      <c r="J30" s="39">
        <v>0.5</v>
      </c>
      <c r="K30" s="52" t="str">
        <f t="shared" si="0"/>
        <v>En Proceso</v>
      </c>
      <c r="L30" s="40" t="str">
        <f>IF(J30=1,"Operativa",IF(J30=0,"Pendiente","En Proceso"))</f>
        <v>En Proceso</v>
      </c>
    </row>
    <row r="31" spans="1:12" ht="18" customHeight="1">
      <c r="A31" s="8" t="s">
        <v>87</v>
      </c>
      <c r="B31" s="41">
        <v>135</v>
      </c>
      <c r="C31" s="41"/>
      <c r="D31" s="36">
        <f>(F31+E31)</f>
        <v>2</v>
      </c>
      <c r="E31" s="41">
        <v>1</v>
      </c>
      <c r="F31" s="41">
        <v>1</v>
      </c>
      <c r="G31" s="42">
        <v>46255</v>
      </c>
      <c r="H31" s="38">
        <v>46255</v>
      </c>
      <c r="I31" s="35">
        <v>1</v>
      </c>
      <c r="J31" s="39">
        <v>1</v>
      </c>
      <c r="K31" s="52" t="str">
        <f t="shared" si="0"/>
        <v>Completado</v>
      </c>
      <c r="L31" s="40" t="str">
        <f>IF(J31=1,"Operativa",IF(J31=0,"Pendiente","En Proceso"))</f>
        <v>Operativa</v>
      </c>
    </row>
    <row r="32" spans="1:12" ht="18" customHeight="1">
      <c r="A32" s="8" t="s">
        <v>88</v>
      </c>
      <c r="B32" s="35">
        <v>136</v>
      </c>
      <c r="C32" s="35"/>
      <c r="D32" s="36">
        <f>(F32+E32)</f>
        <v>6</v>
      </c>
      <c r="E32" s="35">
        <v>1</v>
      </c>
      <c r="F32" s="35">
        <v>5</v>
      </c>
      <c r="G32" s="42">
        <v>46254</v>
      </c>
      <c r="H32" s="38">
        <f>IF(AND(G32&lt;&gt;"",I32&lt;&gt;""),G32+I32,"")</f>
        <v>46255</v>
      </c>
      <c r="I32" s="35">
        <v>1</v>
      </c>
      <c r="J32" s="39">
        <v>0.3</v>
      </c>
      <c r="K32" s="52" t="str">
        <f t="shared" si="0"/>
        <v>En Proceso</v>
      </c>
      <c r="L32" s="40" t="str">
        <f>IF(J32=1,"Operativa",IF(J32=0,"Pendiente","En Proceso"))</f>
        <v>En Proceso</v>
      </c>
    </row>
    <row r="33" spans="1:13" ht="18" customHeight="1">
      <c r="A33" s="8" t="s">
        <v>89</v>
      </c>
      <c r="B33" s="41">
        <v>137</v>
      </c>
      <c r="C33" s="41"/>
      <c r="D33" s="36">
        <f>(F33+E33)</f>
        <v>3</v>
      </c>
      <c r="E33" s="41">
        <v>1</v>
      </c>
      <c r="F33" s="41">
        <v>2</v>
      </c>
      <c r="G33" s="42">
        <v>46255</v>
      </c>
      <c r="H33" s="38">
        <f>IF(AND(G33&lt;&gt;"",I33&lt;&gt;""),G33+I33,"")</f>
        <v>46256</v>
      </c>
      <c r="I33" s="35">
        <v>1</v>
      </c>
      <c r="J33" s="39">
        <v>0</v>
      </c>
      <c r="K33" s="52" t="str">
        <f t="shared" si="0"/>
        <v>Pendiente</v>
      </c>
      <c r="L33" s="40" t="str">
        <f>IF(J33=1,"Operativa",IF(J33=0,"Pendiente","En Proceso"))</f>
        <v>Pendiente</v>
      </c>
      <c r="M33" s="58" t="s">
        <v>90</v>
      </c>
    </row>
    <row r="35" spans="1:13" ht="21.75" customHeight="1">
      <c r="A35" s="12" t="s">
        <v>56</v>
      </c>
      <c r="C35" s="12">
        <f>SUM(C5:C33)</f>
        <v>25</v>
      </c>
      <c r="D35" s="12">
        <f>SUM(D5:D33)</f>
        <v>161</v>
      </c>
      <c r="E35" s="12">
        <f>SUM(E5:E33)</f>
        <v>29</v>
      </c>
      <c r="F35" s="12">
        <f>SUM(F5:F33)</f>
        <v>132</v>
      </c>
      <c r="J35" s="43">
        <f>AVERAGE(J5:J33)</f>
        <v>0.77586206896551724</v>
      </c>
    </row>
  </sheetData>
  <autoFilter ref="A4:AJ33" xr:uid="{00000000-0001-0000-0200-000000000000}"/>
  <mergeCells count="3">
    <mergeCell ref="A1:F1"/>
    <mergeCell ref="N1:AJ1"/>
    <mergeCell ref="N2:P3"/>
  </mergeCells>
  <conditionalFormatting sqref="K5:K33">
    <cfRule type="expression" dxfId="13" priority="2">
      <formula>K5="Completado"</formula>
    </cfRule>
    <cfRule type="expression" dxfId="12" priority="3">
      <formula>K5="Falta LH"</formula>
    </cfRule>
    <cfRule type="expression" dxfId="11" priority="4">
      <formula>K5="En Proceso"</formula>
    </cfRule>
    <cfRule type="expression" dxfId="10" priority="5">
      <formula>K5="Pendiente"</formula>
    </cfRule>
  </conditionalFormatting>
  <conditionalFormatting sqref="L5:L33">
    <cfRule type="expression" dxfId="9" priority="6">
      <formula>L5="Operativa"</formula>
    </cfRule>
    <cfRule type="expression" dxfId="8" priority="7">
      <formula>L5="En Proceso"</formula>
    </cfRule>
    <cfRule type="expression" dxfId="7" priority="8">
      <formula>L5="Pendiente"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79"/>
  <sheetViews>
    <sheetView tabSelected="1" zoomScaleNormal="100" workbookViewId="0">
      <pane ySplit="4" topLeftCell="A5" activePane="bottomLeft" state="frozen"/>
      <selection pane="bottomLeft" activeCell="L8" sqref="L8"/>
    </sheetView>
  </sheetViews>
  <sheetFormatPr defaultColWidth="8.7109375" defaultRowHeight="14.25"/>
  <cols>
    <col min="1" max="1" width="7" customWidth="1"/>
    <col min="2" max="2" width="10.5703125" customWidth="1"/>
    <col min="3" max="3" width="22" customWidth="1"/>
    <col min="4" max="4" width="10.140625" customWidth="1"/>
    <col min="5" max="5" width="10.5703125" customWidth="1"/>
    <col min="6" max="6" width="6" customWidth="1"/>
    <col min="7" max="7" width="7" customWidth="1"/>
    <col min="8" max="9" width="15" customWidth="1"/>
    <col min="10" max="10" width="7" customWidth="1"/>
    <col min="11" max="11" width="12" customWidth="1"/>
    <col min="12" max="12" width="14" customWidth="1"/>
    <col min="13" max="13" width="16" customWidth="1"/>
    <col min="15" max="18" width="5.5703125" customWidth="1"/>
    <col min="19" max="37" width="2.42578125" customWidth="1"/>
  </cols>
  <sheetData>
    <row r="1" spans="1:37" ht="27.75" customHeight="1">
      <c r="A1" s="53" t="s">
        <v>91</v>
      </c>
      <c r="B1" s="53"/>
      <c r="C1" s="53"/>
      <c r="D1" s="53"/>
      <c r="E1" s="53"/>
      <c r="O1" s="54" t="s">
        <v>92</v>
      </c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</row>
    <row r="2" spans="1:37" ht="24" customHeight="1">
      <c r="A2" s="3" t="s">
        <v>10</v>
      </c>
      <c r="B2" s="17">
        <v>46209</v>
      </c>
      <c r="D2" s="3" t="s">
        <v>26</v>
      </c>
      <c r="E2" s="17">
        <v>46272</v>
      </c>
      <c r="O2" s="55">
        <f>AVERAGE(K5:K77)</f>
        <v>0.34583333333333333</v>
      </c>
      <c r="P2" s="55"/>
      <c r="Q2" s="55"/>
      <c r="R2" s="2" t="s">
        <v>2</v>
      </c>
      <c r="S2" s="2" t="s">
        <v>2</v>
      </c>
      <c r="T2" s="2" t="s">
        <v>2</v>
      </c>
      <c r="U2" s="2" t="s">
        <v>2</v>
      </c>
      <c r="V2" s="2" t="s">
        <v>2</v>
      </c>
      <c r="W2" s="2" t="s">
        <v>2</v>
      </c>
      <c r="X2" s="2" t="s">
        <v>2</v>
      </c>
      <c r="Y2" s="2" t="s">
        <v>2</v>
      </c>
      <c r="Z2" s="2" t="s">
        <v>2</v>
      </c>
      <c r="AA2" s="2" t="s">
        <v>2</v>
      </c>
      <c r="AB2" s="2" t="s">
        <v>2</v>
      </c>
      <c r="AC2" s="2" t="s">
        <v>2</v>
      </c>
      <c r="AD2" s="2" t="s">
        <v>2</v>
      </c>
      <c r="AE2" s="2" t="s">
        <v>2</v>
      </c>
      <c r="AF2" s="2" t="s">
        <v>2</v>
      </c>
      <c r="AG2" s="2" t="s">
        <v>2</v>
      </c>
      <c r="AH2" s="2" t="s">
        <v>2</v>
      </c>
      <c r="AI2" s="2" t="s">
        <v>2</v>
      </c>
      <c r="AJ2" s="2" t="s">
        <v>2</v>
      </c>
      <c r="AK2" s="2" t="s">
        <v>2</v>
      </c>
    </row>
    <row r="3" spans="1:37" ht="12.75" customHeight="1">
      <c r="O3" s="55"/>
      <c r="P3" s="55"/>
      <c r="Q3" s="55"/>
      <c r="R3" s="2"/>
      <c r="S3" s="2"/>
      <c r="T3" s="2"/>
      <c r="U3" s="5" t="s">
        <v>5</v>
      </c>
      <c r="V3" s="2"/>
      <c r="W3" s="2"/>
      <c r="X3" s="2"/>
      <c r="Y3" s="5" t="s">
        <v>6</v>
      </c>
      <c r="Z3" s="2"/>
      <c r="AA3" s="2"/>
      <c r="AB3" s="2"/>
      <c r="AC3" s="5" t="s">
        <v>7</v>
      </c>
      <c r="AD3" s="2"/>
      <c r="AE3" s="2"/>
      <c r="AF3" s="2"/>
      <c r="AG3" s="5" t="s">
        <v>8</v>
      </c>
      <c r="AH3" s="2"/>
      <c r="AI3" s="2"/>
      <c r="AJ3" s="2"/>
      <c r="AK3" s="5" t="s">
        <v>9</v>
      </c>
    </row>
    <row r="4" spans="1:37" ht="30" customHeight="1">
      <c r="A4" s="7" t="s">
        <v>27</v>
      </c>
      <c r="B4" s="7" t="s">
        <v>93</v>
      </c>
      <c r="C4" s="7" t="s">
        <v>94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31</v>
      </c>
      <c r="I4" s="7" t="s">
        <v>32</v>
      </c>
      <c r="J4" s="7" t="s">
        <v>33</v>
      </c>
      <c r="K4" s="7" t="s">
        <v>18</v>
      </c>
      <c r="L4" s="7" t="s">
        <v>34</v>
      </c>
      <c r="M4" s="7" t="s">
        <v>95</v>
      </c>
    </row>
    <row r="5" spans="1:37" ht="18" customHeight="1">
      <c r="A5" s="44" t="s">
        <v>89</v>
      </c>
      <c r="B5" s="44">
        <v>22</v>
      </c>
      <c r="C5" s="45" t="s">
        <v>96</v>
      </c>
      <c r="D5" s="44">
        <v>1</v>
      </c>
      <c r="E5" s="46">
        <f>(F5+G5)</f>
        <v>2</v>
      </c>
      <c r="F5" s="44">
        <v>1</v>
      </c>
      <c r="G5" s="44">
        <v>1</v>
      </c>
      <c r="H5" s="47"/>
      <c r="I5" s="48" t="str">
        <f>IF(AND(H5&lt;&gt;"",J5&lt;&gt;""),H5+J5,"")</f>
        <v/>
      </c>
      <c r="J5" s="44">
        <v>1</v>
      </c>
      <c r="K5" s="49">
        <v>0</v>
      </c>
      <c r="L5" s="44" t="str">
        <f>IF(K5=1,"Completado",IF(K5=0.9,"Falta LH",IF(K5=0,"Pendiente","En Proceso")))</f>
        <v>Pendiente</v>
      </c>
      <c r="M5" s="40" t="str">
        <f>IF(K5=1,"Operativa",IF(K5=0,"Pendiente","En Proceso"))</f>
        <v>Pendiente</v>
      </c>
    </row>
    <row r="6" spans="1:37" ht="18" customHeight="1">
      <c r="A6" s="50" t="s">
        <v>97</v>
      </c>
      <c r="B6" s="50">
        <v>17</v>
      </c>
      <c r="C6" s="51" t="s">
        <v>98</v>
      </c>
      <c r="D6" s="50"/>
      <c r="E6" s="46">
        <f>(F6+G6)</f>
        <v>3</v>
      </c>
      <c r="F6" s="50">
        <v>1</v>
      </c>
      <c r="G6" s="50">
        <v>2</v>
      </c>
      <c r="H6" s="47">
        <v>46258</v>
      </c>
      <c r="I6" s="48">
        <f>IF(AND(H6&lt;&gt;"",J6&lt;&gt;""),H6+J6,"")</f>
        <v>46259</v>
      </c>
      <c r="J6" s="50">
        <v>1</v>
      </c>
      <c r="K6" s="49">
        <v>0.3</v>
      </c>
      <c r="L6" s="44" t="str">
        <f>IF(K6=1,"Completado",IF(K6=0.9,"Falta LH",IF(K6=0,"Pendiente","En Proceso")))</f>
        <v>En Proceso</v>
      </c>
      <c r="M6" s="40" t="str">
        <f>IF(K6=1,"Operativa",IF(K6=0,"Pendiente","En Proceso"))</f>
        <v>En Proceso</v>
      </c>
    </row>
    <row r="7" spans="1:37" ht="18" customHeight="1">
      <c r="A7" s="44" t="s">
        <v>99</v>
      </c>
      <c r="B7" s="44">
        <v>52</v>
      </c>
      <c r="C7" s="45" t="s">
        <v>98</v>
      </c>
      <c r="D7" s="44">
        <v>2</v>
      </c>
      <c r="E7" s="46">
        <f>(F7+G7)</f>
        <v>5</v>
      </c>
      <c r="F7" s="44">
        <v>1</v>
      </c>
      <c r="G7" s="44">
        <v>4</v>
      </c>
      <c r="H7" s="47"/>
      <c r="I7" s="48" t="str">
        <f>IF(AND(H7&lt;&gt;"",J7&lt;&gt;""),H7+J7,"")</f>
        <v/>
      </c>
      <c r="J7" s="44">
        <v>1</v>
      </c>
      <c r="K7" s="49">
        <v>0</v>
      </c>
      <c r="L7" s="44" t="str">
        <f>IF(K7=1,"Completado",IF(K7=0.9,"Falta LH",IF(K7=0,"Pendiente","En Proceso")))</f>
        <v>Pendiente</v>
      </c>
      <c r="M7" s="40" t="str">
        <f>IF(K7=1,"Operativa",IF(K7=0,"Pendiente","En Proceso"))</f>
        <v>Pendiente</v>
      </c>
    </row>
    <row r="8" spans="1:37" ht="18" customHeight="1">
      <c r="A8" s="50" t="s">
        <v>100</v>
      </c>
      <c r="B8" s="50">
        <v>117</v>
      </c>
      <c r="C8" s="51" t="s">
        <v>98</v>
      </c>
      <c r="D8" s="50"/>
      <c r="E8" s="46">
        <f>(F8+G8)</f>
        <v>3</v>
      </c>
      <c r="F8" s="50">
        <v>1</v>
      </c>
      <c r="G8" s="50">
        <v>2</v>
      </c>
      <c r="H8" s="47"/>
      <c r="I8" s="48" t="str">
        <f>IF(AND(H8&lt;&gt;"",J8&lt;&gt;""),H8+J8,"")</f>
        <v/>
      </c>
      <c r="J8" s="50">
        <v>1</v>
      </c>
      <c r="K8" s="49">
        <v>0.9</v>
      </c>
      <c r="L8" s="44" t="str">
        <f>IF(K8=1,"Completado",IF(K8=0.9,"Falta LH",IF(K8=0,"Pendiente","En Proceso")))</f>
        <v>Falta LH</v>
      </c>
      <c r="M8" s="40" t="str">
        <f>IF(K8=1,"Operativa",IF(K8=0,"Pendiente","En Proceso"))</f>
        <v>En Proceso</v>
      </c>
    </row>
    <row r="9" spans="1:37" ht="18" customHeight="1">
      <c r="A9" s="44" t="s">
        <v>101</v>
      </c>
      <c r="B9" s="44">
        <v>49</v>
      </c>
      <c r="C9" s="45" t="s">
        <v>102</v>
      </c>
      <c r="D9" s="44"/>
      <c r="E9" s="46">
        <f>(F9+G9)</f>
        <v>5</v>
      </c>
      <c r="F9" s="44">
        <v>1</v>
      </c>
      <c r="G9" s="44">
        <v>4</v>
      </c>
      <c r="H9" s="47"/>
      <c r="I9" s="48" t="str">
        <f>IF(AND(H9&lt;&gt;"",J9&lt;&gt;""),H9+J9,"")</f>
        <v/>
      </c>
      <c r="J9" s="44">
        <v>1</v>
      </c>
      <c r="K9" s="49">
        <v>0</v>
      </c>
      <c r="L9" s="44" t="str">
        <f>IF(K9=1,"Completado",IF(K9=0.9,"Falta LH",IF(K9=0,"Pendiente","En Proceso")))</f>
        <v>Pendiente</v>
      </c>
      <c r="M9" s="40" t="str">
        <f>IF(K9=1,"Operativa",IF(K9=0,"Pendiente","En Proceso"))</f>
        <v>Pendiente</v>
      </c>
    </row>
    <row r="10" spans="1:37" ht="18" customHeight="1">
      <c r="A10" s="50" t="s">
        <v>103</v>
      </c>
      <c r="B10" s="50">
        <v>50</v>
      </c>
      <c r="C10" s="51" t="s">
        <v>102</v>
      </c>
      <c r="D10" s="50">
        <v>2</v>
      </c>
      <c r="E10" s="46">
        <f>(F10+G10)</f>
        <v>10</v>
      </c>
      <c r="F10" s="50">
        <v>1</v>
      </c>
      <c r="G10" s="50">
        <v>9</v>
      </c>
      <c r="H10" s="47"/>
      <c r="I10" s="48" t="str">
        <f>IF(AND(H10&lt;&gt;"",J10&lt;&gt;""),H10+J10,"")</f>
        <v/>
      </c>
      <c r="J10" s="50">
        <v>1</v>
      </c>
      <c r="K10" s="49">
        <v>0</v>
      </c>
      <c r="L10" s="44" t="str">
        <f>IF(K10=1,"Completado",IF(K10=0.9,"Falta LH",IF(K10=0,"Pendiente","En Proceso")))</f>
        <v>Pendiente</v>
      </c>
      <c r="M10" s="40" t="str">
        <f>IF(K10=1,"Operativa",IF(K10=0,"Pendiente","En Proceso"))</f>
        <v>Pendiente</v>
      </c>
    </row>
    <row r="11" spans="1:37" ht="18" customHeight="1">
      <c r="A11" s="44" t="s">
        <v>104</v>
      </c>
      <c r="B11" s="44">
        <v>60</v>
      </c>
      <c r="C11" s="45" t="s">
        <v>102</v>
      </c>
      <c r="D11" s="44"/>
      <c r="E11" s="46">
        <f>(F11+G11)</f>
        <v>1</v>
      </c>
      <c r="F11" s="44">
        <v>1</v>
      </c>
      <c r="G11" s="44">
        <v>0</v>
      </c>
      <c r="H11" s="47"/>
      <c r="I11" s="48" t="str">
        <f>IF(AND(H11&lt;&gt;"",J11&lt;&gt;""),H11+J11,"")</f>
        <v/>
      </c>
      <c r="J11" s="44">
        <v>1</v>
      </c>
      <c r="K11" s="49">
        <v>0</v>
      </c>
      <c r="L11" s="44" t="str">
        <f>IF(K11=1,"Completado",IF(K11=0.9,"Falta LH",IF(K11=0,"Pendiente","En Proceso")))</f>
        <v>Pendiente</v>
      </c>
      <c r="M11" s="40" t="str">
        <f>IF(K11=1,"Operativa",IF(K11=0,"Pendiente","En Proceso"))</f>
        <v>Pendiente</v>
      </c>
    </row>
    <row r="12" spans="1:37" ht="18" customHeight="1">
      <c r="A12" s="50" t="s">
        <v>105</v>
      </c>
      <c r="B12" s="50">
        <v>132</v>
      </c>
      <c r="C12" s="51" t="s">
        <v>102</v>
      </c>
      <c r="D12" s="50"/>
      <c r="E12" s="46">
        <f>(F12+G12)</f>
        <v>4</v>
      </c>
      <c r="F12" s="50">
        <v>1</v>
      </c>
      <c r="G12" s="50">
        <v>3</v>
      </c>
      <c r="H12" s="47"/>
      <c r="I12" s="48" t="str">
        <f>IF(AND(H12&lt;&gt;"",J12&lt;&gt;""),H12+J12,"")</f>
        <v/>
      </c>
      <c r="J12" s="50">
        <v>1</v>
      </c>
      <c r="K12" s="49">
        <v>0</v>
      </c>
      <c r="L12" s="44" t="str">
        <f>IF(K12=1,"Completado",IF(K12=0.9,"Falta LH",IF(K12=0,"Pendiente","En Proceso")))</f>
        <v>Pendiente</v>
      </c>
      <c r="M12" s="40" t="str">
        <f>IF(K12=1,"Operativa",IF(K12=0,"Pendiente","En Proceso"))</f>
        <v>Pendiente</v>
      </c>
    </row>
    <row r="13" spans="1:37" ht="18" customHeight="1">
      <c r="A13" s="44" t="s">
        <v>106</v>
      </c>
      <c r="B13" s="44">
        <v>68</v>
      </c>
      <c r="C13" s="45" t="s">
        <v>107</v>
      </c>
      <c r="D13" s="44">
        <v>1</v>
      </c>
      <c r="E13" s="46">
        <f>(F13+G13)</f>
        <v>3</v>
      </c>
      <c r="F13" s="44">
        <v>1</v>
      </c>
      <c r="G13" s="44">
        <v>2</v>
      </c>
      <c r="H13" s="47">
        <v>46253</v>
      </c>
      <c r="I13" s="48">
        <f>IF(AND(H13&lt;&gt;"",J13&lt;&gt;""),H13+J13,"")</f>
        <v>46254</v>
      </c>
      <c r="J13" s="44">
        <v>1</v>
      </c>
      <c r="K13" s="49">
        <v>0.9</v>
      </c>
      <c r="L13" s="44" t="str">
        <f>IF(K13=1,"Completado",IF(K13=0.9,"Falta LH",IF(K13=0,"Pendiente","En Proceso")))</f>
        <v>Falta LH</v>
      </c>
      <c r="M13" s="40" t="str">
        <f>IF(K13=1,"Operativa",IF(K13=0,"Pendiente","En Proceso"))</f>
        <v>En Proceso</v>
      </c>
    </row>
    <row r="14" spans="1:37" ht="18" customHeight="1">
      <c r="A14" s="50" t="s">
        <v>108</v>
      </c>
      <c r="B14" s="50">
        <v>111</v>
      </c>
      <c r="C14" s="51" t="s">
        <v>109</v>
      </c>
      <c r="D14" s="50">
        <v>1</v>
      </c>
      <c r="E14" s="46">
        <f>(F14+G14)</f>
        <v>2</v>
      </c>
      <c r="F14" s="50">
        <v>1</v>
      </c>
      <c r="G14" s="50">
        <v>1</v>
      </c>
      <c r="H14" s="47">
        <v>46258</v>
      </c>
      <c r="I14" s="48">
        <f>IF(AND(H14&lt;&gt;"",J14&lt;&gt;""),H14+J14,"")</f>
        <v>46259</v>
      </c>
      <c r="J14" s="50">
        <v>1</v>
      </c>
      <c r="K14" s="49">
        <v>1</v>
      </c>
      <c r="L14" s="44" t="str">
        <f>IF(K14=1,"Completado",IF(K14=0.9,"Falta LH",IF(K14=0,"Pendiente","En Proceso")))</f>
        <v>Completado</v>
      </c>
      <c r="M14" s="40" t="str">
        <f>IF(K14=1,"Operativa",IF(K14=0,"Pendiente","En Proceso"))</f>
        <v>Operativa</v>
      </c>
    </row>
    <row r="15" spans="1:37" ht="18" customHeight="1">
      <c r="A15" s="44" t="s">
        <v>110</v>
      </c>
      <c r="B15" s="44">
        <v>54</v>
      </c>
      <c r="C15" s="45" t="s">
        <v>111</v>
      </c>
      <c r="D15" s="44"/>
      <c r="E15" s="46">
        <f>(F15+G15)</f>
        <v>3</v>
      </c>
      <c r="F15" s="44">
        <v>1</v>
      </c>
      <c r="G15" s="44">
        <v>2</v>
      </c>
      <c r="H15" s="47"/>
      <c r="I15" s="48" t="str">
        <f>IF(AND(H15&lt;&gt;"",J15&lt;&gt;""),H15+J15,"")</f>
        <v/>
      </c>
      <c r="J15" s="44">
        <v>1</v>
      </c>
      <c r="K15" s="49">
        <v>0</v>
      </c>
      <c r="L15" s="44" t="str">
        <f>IF(K15=1,"Completado",IF(K15=0.9,"Falta LH",IF(K15=0,"Pendiente","En Proceso")))</f>
        <v>Pendiente</v>
      </c>
      <c r="M15" s="40" t="str">
        <f>IF(K15=1,"Operativa",IF(K15=0,"Pendiente","En Proceso"))</f>
        <v>Pendiente</v>
      </c>
    </row>
    <row r="16" spans="1:37" ht="18" customHeight="1">
      <c r="A16" s="50" t="s">
        <v>112</v>
      </c>
      <c r="B16" s="50">
        <v>55</v>
      </c>
      <c r="C16" s="51" t="s">
        <v>111</v>
      </c>
      <c r="D16" s="50">
        <v>3</v>
      </c>
      <c r="E16" s="46">
        <f>(F16+G16)</f>
        <v>10</v>
      </c>
      <c r="F16" s="50">
        <v>1</v>
      </c>
      <c r="G16" s="50">
        <v>9</v>
      </c>
      <c r="H16" s="47"/>
      <c r="I16" s="48" t="str">
        <f>IF(AND(H16&lt;&gt;"",J16&lt;&gt;""),H16+J16,"")</f>
        <v/>
      </c>
      <c r="J16" s="50">
        <v>1</v>
      </c>
      <c r="K16" s="49">
        <v>0</v>
      </c>
      <c r="L16" s="44" t="str">
        <f>IF(K16=1,"Completado",IF(K16=0.9,"Falta LH",IF(K16=0,"Pendiente","En Proceso")))</f>
        <v>Pendiente</v>
      </c>
      <c r="M16" s="40" t="str">
        <f>IF(K16=1,"Operativa",IF(K16=0,"Pendiente","En Proceso"))</f>
        <v>Pendiente</v>
      </c>
    </row>
    <row r="17" spans="1:13" ht="18" customHeight="1">
      <c r="A17" s="44" t="s">
        <v>113</v>
      </c>
      <c r="B17" s="44">
        <v>56</v>
      </c>
      <c r="C17" s="45" t="s">
        <v>111</v>
      </c>
      <c r="D17" s="44"/>
      <c r="E17" s="46">
        <f>(F17+G17)</f>
        <v>4</v>
      </c>
      <c r="F17" s="44">
        <v>1</v>
      </c>
      <c r="G17" s="44">
        <v>3</v>
      </c>
      <c r="H17" s="47"/>
      <c r="I17" s="48" t="str">
        <f>IF(AND(H17&lt;&gt;"",J17&lt;&gt;""),H17+J17,"")</f>
        <v/>
      </c>
      <c r="J17" s="44">
        <v>1</v>
      </c>
      <c r="K17" s="49">
        <v>0</v>
      </c>
      <c r="L17" s="44" t="str">
        <f>IF(K17=1,"Completado",IF(K17=0.9,"Falta LH",IF(K17=0,"Pendiente","En Proceso")))</f>
        <v>Pendiente</v>
      </c>
      <c r="M17" s="40" t="str">
        <f>IF(K17=1,"Operativa",IF(K17=0,"Pendiente","En Proceso"))</f>
        <v>Pendiente</v>
      </c>
    </row>
    <row r="18" spans="1:13" ht="18" customHeight="1">
      <c r="A18" s="50" t="s">
        <v>114</v>
      </c>
      <c r="B18" s="50">
        <v>78</v>
      </c>
      <c r="C18" s="51" t="s">
        <v>115</v>
      </c>
      <c r="D18" s="50"/>
      <c r="E18" s="46">
        <f>(F18+G18)</f>
        <v>2</v>
      </c>
      <c r="F18" s="50">
        <v>1</v>
      </c>
      <c r="G18" s="50">
        <v>1</v>
      </c>
      <c r="H18" s="47">
        <v>46258</v>
      </c>
      <c r="I18" s="48">
        <f>IF(AND(H18&lt;&gt;"",J18&lt;&gt;""),H18+J18,"")</f>
        <v>46259</v>
      </c>
      <c r="J18" s="50">
        <v>1</v>
      </c>
      <c r="K18" s="49">
        <v>1</v>
      </c>
      <c r="L18" s="44" t="str">
        <f>IF(K18=1,"Completado",IF(K18=0.9,"Falta LH",IF(K18=0,"Pendiente","En Proceso")))</f>
        <v>Completado</v>
      </c>
      <c r="M18" s="40" t="str">
        <f>IF(K18=1,"Operativa",IF(K18=0,"Pendiente","En Proceso"))</f>
        <v>Operativa</v>
      </c>
    </row>
    <row r="19" spans="1:13" ht="18" customHeight="1">
      <c r="A19" s="50" t="s">
        <v>116</v>
      </c>
      <c r="B19" s="50">
        <v>138</v>
      </c>
      <c r="C19" s="51" t="s">
        <v>115</v>
      </c>
      <c r="D19" s="50"/>
      <c r="E19" s="46">
        <v>2</v>
      </c>
      <c r="F19" s="50"/>
      <c r="G19" s="50">
        <v>2</v>
      </c>
      <c r="H19" s="47">
        <v>46258</v>
      </c>
      <c r="I19" s="48">
        <v>46259</v>
      </c>
      <c r="J19" s="50">
        <v>1</v>
      </c>
      <c r="K19" s="49">
        <v>1</v>
      </c>
      <c r="L19" s="44" t="str">
        <f>IF(K19=1,"Completado",IF(K19=0.9,"Falta LH",IF(K19=0,"Pendiente","En Proceso")))</f>
        <v>Completado</v>
      </c>
      <c r="M19" s="40" t="str">
        <f>IF(K19=1,"Operativa",IF(K19=0,"Pendiente","En Proceso"))</f>
        <v>Operativa</v>
      </c>
    </row>
    <row r="20" spans="1:13" ht="18" customHeight="1">
      <c r="A20" s="50" t="s">
        <v>117</v>
      </c>
      <c r="B20" s="44">
        <v>46</v>
      </c>
      <c r="C20" s="45" t="s">
        <v>118</v>
      </c>
      <c r="D20" s="44"/>
      <c r="E20" s="46">
        <f>(F20+G20)</f>
        <v>12</v>
      </c>
      <c r="F20" s="44">
        <v>1</v>
      </c>
      <c r="G20" s="44">
        <v>11</v>
      </c>
      <c r="H20" s="47"/>
      <c r="I20" s="48" t="str">
        <f>IF(AND(H20&lt;&gt;"",J20&lt;&gt;""),H20+J20,"")</f>
        <v/>
      </c>
      <c r="J20" s="44">
        <v>1</v>
      </c>
      <c r="K20" s="49" t="s">
        <v>119</v>
      </c>
      <c r="L20" s="44" t="str">
        <f>IF(K20=1,"Completado",IF(K20=0.9,"Falta LH",IF(K20=0,"Pendiente","En Proceso")))</f>
        <v>En Proceso</v>
      </c>
      <c r="M20" s="40" t="str">
        <f>IF(K20=1,"Operativa",IF(K20=0,"Pendiente","En Proceso"))</f>
        <v>En Proceso</v>
      </c>
    </row>
    <row r="21" spans="1:13" ht="18" customHeight="1">
      <c r="A21" s="50" t="s">
        <v>120</v>
      </c>
      <c r="B21" s="50">
        <v>47</v>
      </c>
      <c r="C21" s="51" t="s">
        <v>118</v>
      </c>
      <c r="D21" s="50">
        <v>5</v>
      </c>
      <c r="E21" s="46">
        <f>(F21+G21)</f>
        <v>14</v>
      </c>
      <c r="F21" s="50">
        <v>1</v>
      </c>
      <c r="G21" s="50">
        <v>13</v>
      </c>
      <c r="H21" s="47"/>
      <c r="I21" s="48" t="str">
        <f>IF(AND(H21&lt;&gt;"",J21&lt;&gt;""),H21+J21,"")</f>
        <v/>
      </c>
      <c r="J21" s="50">
        <v>1</v>
      </c>
      <c r="K21" s="49">
        <v>0</v>
      </c>
      <c r="L21" s="44" t="str">
        <f>IF(K21=1,"Completado",IF(K21=0.9,"Falta LH",IF(K21=0,"Pendiente","En Proceso")))</f>
        <v>Pendiente</v>
      </c>
      <c r="M21" s="40" t="str">
        <f>IF(K21=1,"Operativa",IF(K21=0,"Pendiente","En Proceso"))</f>
        <v>Pendiente</v>
      </c>
    </row>
    <row r="22" spans="1:13" ht="18" customHeight="1">
      <c r="A22" s="50" t="s">
        <v>121</v>
      </c>
      <c r="B22" s="44">
        <v>48</v>
      </c>
      <c r="C22" s="45" t="s">
        <v>118</v>
      </c>
      <c r="D22" s="44"/>
      <c r="E22" s="46">
        <f>(F22+G22)</f>
        <v>17</v>
      </c>
      <c r="F22" s="44">
        <v>1</v>
      </c>
      <c r="G22" s="44">
        <v>16</v>
      </c>
      <c r="H22" s="47"/>
      <c r="I22" s="48" t="str">
        <f>IF(AND(H22&lt;&gt;"",J22&lt;&gt;""),H22+J22,"")</f>
        <v/>
      </c>
      <c r="J22" s="44">
        <v>1</v>
      </c>
      <c r="K22" s="49">
        <v>0</v>
      </c>
      <c r="L22" s="44" t="str">
        <f>IF(K22=1,"Completado",IF(K22=0.9,"Falta LH",IF(K22=0,"Pendiente","En Proceso")))</f>
        <v>Pendiente</v>
      </c>
      <c r="M22" s="40" t="str">
        <f>IF(K22=1,"Operativa",IF(K22=0,"Pendiente","En Proceso"))</f>
        <v>Pendiente</v>
      </c>
    </row>
    <row r="23" spans="1:13" ht="18" customHeight="1">
      <c r="A23" s="50" t="s">
        <v>122</v>
      </c>
      <c r="B23" s="50">
        <v>130</v>
      </c>
      <c r="C23" s="51" t="s">
        <v>118</v>
      </c>
      <c r="D23" s="50"/>
      <c r="E23" s="46">
        <f>(F23+G23)</f>
        <v>5</v>
      </c>
      <c r="F23" s="50">
        <v>1</v>
      </c>
      <c r="G23" s="50">
        <v>4</v>
      </c>
      <c r="H23" s="47"/>
      <c r="I23" s="48" t="str">
        <f>IF(AND(H23&lt;&gt;"",J23&lt;&gt;""),H23+J23,"")</f>
        <v/>
      </c>
      <c r="J23" s="50">
        <v>1</v>
      </c>
      <c r="K23" s="49">
        <v>0</v>
      </c>
      <c r="L23" s="44" t="str">
        <f>IF(K23=1,"Completado",IF(K23=0.9,"Falta LH",IF(K23=0,"Pendiente","En Proceso")))</f>
        <v>Pendiente</v>
      </c>
      <c r="M23" s="40" t="str">
        <f>IF(K23=1,"Operativa",IF(K23=0,"Pendiente","En Proceso"))</f>
        <v>Pendiente</v>
      </c>
    </row>
    <row r="24" spans="1:13" ht="18" customHeight="1">
      <c r="A24" s="50" t="s">
        <v>123</v>
      </c>
      <c r="B24" s="44">
        <v>69</v>
      </c>
      <c r="C24" s="45" t="s">
        <v>124</v>
      </c>
      <c r="D24" s="44"/>
      <c r="E24" s="46">
        <f>(F24+G24)</f>
        <v>8</v>
      </c>
      <c r="F24" s="44">
        <v>1</v>
      </c>
      <c r="G24" s="44">
        <v>7</v>
      </c>
      <c r="H24" s="47"/>
      <c r="I24" s="48" t="str">
        <f>IF(AND(H24&lt;&gt;"",J24&lt;&gt;""),H24+J24,"")</f>
        <v/>
      </c>
      <c r="J24" s="44">
        <v>1</v>
      </c>
      <c r="K24" s="49">
        <v>0</v>
      </c>
      <c r="L24" s="44" t="str">
        <f>IF(K24=1,"Completado",IF(K24=0.9,"Falta LH",IF(K24=0,"Pendiente","En Proceso")))</f>
        <v>Pendiente</v>
      </c>
      <c r="M24" s="40" t="str">
        <f>IF(K24=1,"Operativa",IF(K24=0,"Pendiente","En Proceso"))</f>
        <v>Pendiente</v>
      </c>
    </row>
    <row r="25" spans="1:13" ht="18" customHeight="1">
      <c r="A25" s="50" t="s">
        <v>125</v>
      </c>
      <c r="B25" s="50">
        <v>58</v>
      </c>
      <c r="C25" s="51" t="s">
        <v>126</v>
      </c>
      <c r="D25" s="50"/>
      <c r="E25" s="46">
        <f>(F25+G25)</f>
        <v>12</v>
      </c>
      <c r="F25" s="50">
        <v>1</v>
      </c>
      <c r="G25" s="50">
        <v>11</v>
      </c>
      <c r="H25" s="47"/>
      <c r="I25" s="48" t="str">
        <f>IF(AND(H25&lt;&gt;"",J25&lt;&gt;""),H25+J25,"")</f>
        <v/>
      </c>
      <c r="J25" s="50">
        <v>1</v>
      </c>
      <c r="K25" s="49">
        <v>0</v>
      </c>
      <c r="L25" s="44" t="str">
        <f>IF(K25=1,"Completado",IF(K25=0.9,"Falta LH",IF(K25=0,"Pendiente","En Proceso")))</f>
        <v>Pendiente</v>
      </c>
      <c r="M25" s="40" t="str">
        <f>IF(K25=1,"Operativa",IF(K25=0,"Pendiente","En Proceso"))</f>
        <v>Pendiente</v>
      </c>
    </row>
    <row r="26" spans="1:13" ht="18" customHeight="1">
      <c r="A26" s="50" t="s">
        <v>127</v>
      </c>
      <c r="B26" s="44">
        <v>106</v>
      </c>
      <c r="C26" s="45" t="s">
        <v>126</v>
      </c>
      <c r="D26" s="44">
        <v>2</v>
      </c>
      <c r="E26" s="46">
        <f>(F26+G26)</f>
        <v>5</v>
      </c>
      <c r="F26" s="44">
        <v>1</v>
      </c>
      <c r="G26" s="44">
        <v>4</v>
      </c>
      <c r="H26" s="47"/>
      <c r="I26" s="48" t="str">
        <f>IF(AND(H26&lt;&gt;"",J26&lt;&gt;""),H26+J26,"")</f>
        <v/>
      </c>
      <c r="J26" s="44">
        <v>1</v>
      </c>
      <c r="K26" s="49">
        <v>0</v>
      </c>
      <c r="L26" s="44" t="str">
        <f>IF(K26=1,"Completado",IF(K26=0.9,"Falta LH",IF(K26=0,"Pendiente","En Proceso")))</f>
        <v>Pendiente</v>
      </c>
      <c r="M26" s="40" t="str">
        <f>IF(K26=1,"Operativa",IF(K26=0,"Pendiente","En Proceso"))</f>
        <v>Pendiente</v>
      </c>
    </row>
    <row r="27" spans="1:13" ht="18" customHeight="1">
      <c r="A27" s="50" t="s">
        <v>128</v>
      </c>
      <c r="B27" s="50">
        <v>121</v>
      </c>
      <c r="C27" s="51" t="s">
        <v>126</v>
      </c>
      <c r="D27" s="50"/>
      <c r="E27" s="46">
        <f>(F27+G27)</f>
        <v>5</v>
      </c>
      <c r="F27" s="50">
        <v>1</v>
      </c>
      <c r="G27" s="50">
        <v>4</v>
      </c>
      <c r="H27" s="47"/>
      <c r="I27" s="48" t="str">
        <f>IF(AND(H27&lt;&gt;"",J27&lt;&gt;""),H27+J27,"")</f>
        <v/>
      </c>
      <c r="J27" s="50">
        <v>1</v>
      </c>
      <c r="K27" s="49">
        <v>0</v>
      </c>
      <c r="L27" s="44" t="str">
        <f>IF(K27=1,"Completado",IF(K27=0.9,"Falta LH",IF(K27=0,"Pendiente","En Proceso")))</f>
        <v>Pendiente</v>
      </c>
      <c r="M27" s="40" t="str">
        <f>IF(K27=1,"Operativa",IF(K27=0,"Pendiente","En Proceso"))</f>
        <v>Pendiente</v>
      </c>
    </row>
    <row r="28" spans="1:13" ht="18" customHeight="1">
      <c r="A28" s="50" t="s">
        <v>129</v>
      </c>
      <c r="B28" s="44">
        <v>66</v>
      </c>
      <c r="C28" s="45" t="s">
        <v>130</v>
      </c>
      <c r="D28" s="44"/>
      <c r="E28" s="46">
        <f>(F28+G28)</f>
        <v>4</v>
      </c>
      <c r="F28" s="44">
        <v>1</v>
      </c>
      <c r="G28" s="44">
        <v>3</v>
      </c>
      <c r="H28" s="47">
        <v>46263</v>
      </c>
      <c r="I28" s="48">
        <f>IF(AND(H28&lt;&gt;"",J28&lt;&gt;""),H28+J28,"")</f>
        <v>46264</v>
      </c>
      <c r="J28" s="44">
        <v>1</v>
      </c>
      <c r="K28" s="49">
        <v>0.9</v>
      </c>
      <c r="L28" s="44" t="str">
        <f>IF(K28=1,"Completado",IF(K28=0.9,"Falta LH",IF(K28=0,"Pendiente","En Proceso")))</f>
        <v>Falta LH</v>
      </c>
      <c r="M28" s="40" t="str">
        <f>IF(K28=1,"Operativa",IF(K28=0,"Pendiente","En Proceso"))</f>
        <v>En Proceso</v>
      </c>
    </row>
    <row r="29" spans="1:13" ht="18" customHeight="1">
      <c r="A29" s="50" t="s">
        <v>131</v>
      </c>
      <c r="B29" s="50">
        <v>80</v>
      </c>
      <c r="C29" s="51" t="s">
        <v>132</v>
      </c>
      <c r="D29" s="50"/>
      <c r="E29" s="46">
        <f>(F29+G29)</f>
        <v>1</v>
      </c>
      <c r="F29" s="50">
        <v>1</v>
      </c>
      <c r="G29" s="50">
        <v>0</v>
      </c>
      <c r="H29" s="47"/>
      <c r="I29" s="48" t="str">
        <f>IF(AND(H29&lt;&gt;"",J29&lt;&gt;""),H29+J29,"")</f>
        <v/>
      </c>
      <c r="J29" s="50">
        <v>1</v>
      </c>
      <c r="K29" s="49">
        <v>0</v>
      </c>
      <c r="L29" s="44" t="str">
        <f>IF(K29=1,"Completado",IF(K29=0.9,"Falta LH",IF(K29=0,"Pendiente","En Proceso")))</f>
        <v>Pendiente</v>
      </c>
      <c r="M29" s="40" t="str">
        <f>IF(K29=1,"Operativa",IF(K29=0,"Pendiente","En Proceso"))</f>
        <v>Pendiente</v>
      </c>
    </row>
    <row r="30" spans="1:13" ht="18" customHeight="1">
      <c r="A30" s="50" t="s">
        <v>133</v>
      </c>
      <c r="B30" s="44">
        <v>63</v>
      </c>
      <c r="C30" s="45" t="s">
        <v>134</v>
      </c>
      <c r="D30" s="44"/>
      <c r="E30" s="46">
        <f>(F30+G30)</f>
        <v>2</v>
      </c>
      <c r="F30" s="44">
        <v>1</v>
      </c>
      <c r="G30" s="44">
        <v>1</v>
      </c>
      <c r="H30" s="47">
        <v>46262</v>
      </c>
      <c r="I30" s="48">
        <f>IF(AND(H30&lt;&gt;"",J30&lt;&gt;""),H30+J30,"")</f>
        <v>46263</v>
      </c>
      <c r="J30" s="44">
        <v>1</v>
      </c>
      <c r="K30" s="49">
        <v>0.9</v>
      </c>
      <c r="L30" s="44" t="str">
        <f>IF(K30=1,"Completado",IF(K30=0.9,"Falta LH",IF(K30=0,"Pendiente","En Proceso")))</f>
        <v>Falta LH</v>
      </c>
      <c r="M30" s="40" t="str">
        <f>IF(K30=1,"Operativa",IF(K30=0,"Pendiente","En Proceso"))</f>
        <v>En Proceso</v>
      </c>
    </row>
    <row r="31" spans="1:13" ht="18" customHeight="1">
      <c r="A31" s="50" t="s">
        <v>135</v>
      </c>
      <c r="B31" s="50">
        <v>64</v>
      </c>
      <c r="C31" s="51" t="s">
        <v>134</v>
      </c>
      <c r="D31" s="50"/>
      <c r="E31" s="46">
        <f>(F31+G31)</f>
        <v>1</v>
      </c>
      <c r="F31" s="50">
        <v>1</v>
      </c>
      <c r="G31" s="50">
        <v>0</v>
      </c>
      <c r="H31" s="47"/>
      <c r="I31" s="48" t="str">
        <f>IF(AND(H31&lt;&gt;"",J31&lt;&gt;""),H31+J31,"")</f>
        <v/>
      </c>
      <c r="J31" s="50">
        <v>1</v>
      </c>
      <c r="K31" s="49">
        <v>0</v>
      </c>
      <c r="L31" s="44" t="str">
        <f>IF(K31=1,"Completado",IF(K31=0.9,"Falta LH",IF(K31=0,"Pendiente","En Proceso")))</f>
        <v>Pendiente</v>
      </c>
      <c r="M31" s="40" t="str">
        <f>IF(K31=1,"Operativa",IF(K31=0,"Pendiente","En Proceso"))</f>
        <v>Pendiente</v>
      </c>
    </row>
    <row r="32" spans="1:13" ht="18" customHeight="1">
      <c r="A32" s="50" t="s">
        <v>136</v>
      </c>
      <c r="B32" s="44">
        <v>73</v>
      </c>
      <c r="C32" s="45" t="s">
        <v>137</v>
      </c>
      <c r="D32" s="44">
        <v>1</v>
      </c>
      <c r="E32" s="46">
        <f>(F32+G32)</f>
        <v>1</v>
      </c>
      <c r="F32" s="44">
        <v>1</v>
      </c>
      <c r="G32" s="44">
        <v>0</v>
      </c>
      <c r="H32" s="47">
        <v>46260</v>
      </c>
      <c r="I32" s="48">
        <f>IF(AND(H32&lt;&gt;"",J32&lt;&gt;""),H32+J32,"")</f>
        <v>46261</v>
      </c>
      <c r="J32" s="44">
        <v>1</v>
      </c>
      <c r="K32" s="49">
        <v>0.9</v>
      </c>
      <c r="L32" s="44" t="str">
        <f>IF(K32=1,"Completado",IF(K32=0.9,"Falta LH",IF(K32=0,"Pendiente","En Proceso")))</f>
        <v>Falta LH</v>
      </c>
      <c r="M32" s="40" t="str">
        <f>IF(K32=1,"Operativa",IF(K32=0,"Pendiente","En Proceso"))</f>
        <v>En Proceso</v>
      </c>
    </row>
    <row r="33" spans="1:13" ht="18" customHeight="1">
      <c r="A33" s="50" t="s">
        <v>138</v>
      </c>
      <c r="B33" s="50">
        <v>74</v>
      </c>
      <c r="C33" s="51" t="s">
        <v>137</v>
      </c>
      <c r="D33" s="50"/>
      <c r="E33" s="46">
        <f>(F33+G33)</f>
        <v>2</v>
      </c>
      <c r="F33" s="50">
        <v>1</v>
      </c>
      <c r="G33" s="50">
        <v>1</v>
      </c>
      <c r="H33" s="47">
        <v>46260</v>
      </c>
      <c r="I33" s="48">
        <f>IF(AND(H33&lt;&gt;"",J33&lt;&gt;""),H33+J33,"")</f>
        <v>46261</v>
      </c>
      <c r="J33" s="50">
        <v>1</v>
      </c>
      <c r="K33" s="49">
        <v>1</v>
      </c>
      <c r="L33" s="44" t="str">
        <f>IF(K33=1,"Completado",IF(K33=0.9,"Falta LH",IF(K33=0,"Pendiente","En Proceso")))</f>
        <v>Completado</v>
      </c>
      <c r="M33" s="40" t="str">
        <f>IF(K33=1,"Operativa",IF(K33=0,"Pendiente","En Proceso"))</f>
        <v>Operativa</v>
      </c>
    </row>
    <row r="34" spans="1:13" ht="18" customHeight="1">
      <c r="A34" s="50" t="s">
        <v>139</v>
      </c>
      <c r="B34" s="44">
        <v>75</v>
      </c>
      <c r="C34" s="45" t="s">
        <v>140</v>
      </c>
      <c r="D34" s="44">
        <v>1</v>
      </c>
      <c r="E34" s="46">
        <f>(F34+G34)</f>
        <v>5</v>
      </c>
      <c r="F34" s="44">
        <v>1</v>
      </c>
      <c r="G34" s="44">
        <v>4</v>
      </c>
      <c r="H34" s="47">
        <v>46260</v>
      </c>
      <c r="I34" s="48">
        <f>IF(AND(H34&lt;&gt;"",J34&lt;&gt;""),H34+J34,"")</f>
        <v>46261</v>
      </c>
      <c r="J34" s="44">
        <v>1</v>
      </c>
      <c r="K34" s="49">
        <v>0.9</v>
      </c>
      <c r="L34" s="44" t="str">
        <f>IF(K34=1,"Completado",IF(K34=0.9,"Falta LH",IF(K34=0,"Pendiente","En Proceso")))</f>
        <v>Falta LH</v>
      </c>
      <c r="M34" s="40" t="str">
        <f>IF(K34=1,"Operativa",IF(K34=0,"Pendiente","En Proceso"))</f>
        <v>En Proceso</v>
      </c>
    </row>
    <row r="35" spans="1:13" ht="18" customHeight="1">
      <c r="A35" s="50" t="s">
        <v>141</v>
      </c>
      <c r="B35" s="50">
        <v>81</v>
      </c>
      <c r="C35" s="51" t="s">
        <v>142</v>
      </c>
      <c r="D35" s="50"/>
      <c r="E35" s="46">
        <f>(F35+G35)</f>
        <v>4</v>
      </c>
      <c r="F35" s="50">
        <v>1</v>
      </c>
      <c r="G35" s="50">
        <v>3</v>
      </c>
      <c r="H35" s="47">
        <v>46258</v>
      </c>
      <c r="I35" s="48">
        <f>IF(AND(H35&lt;&gt;"",J35&lt;&gt;""),H35+J35,"")</f>
        <v>46259</v>
      </c>
      <c r="J35" s="50">
        <v>1</v>
      </c>
      <c r="K35" s="49">
        <v>0.9</v>
      </c>
      <c r="L35" s="44" t="str">
        <f>IF(K35=1,"Completado",IF(K35=0.9,"Falta LH",IF(K35=0,"Pendiente","En Proceso")))</f>
        <v>Falta LH</v>
      </c>
      <c r="M35" s="40" t="str">
        <f>IF(K35=1,"Operativa",IF(K35=0,"Pendiente","En Proceso"))</f>
        <v>En Proceso</v>
      </c>
    </row>
    <row r="36" spans="1:13" ht="18" customHeight="1">
      <c r="A36" s="50" t="s">
        <v>143</v>
      </c>
      <c r="B36" s="44">
        <v>82</v>
      </c>
      <c r="C36" s="45" t="s">
        <v>142</v>
      </c>
      <c r="D36" s="44"/>
      <c r="E36" s="46">
        <f>(F36+G36)</f>
        <v>4</v>
      </c>
      <c r="F36" s="44">
        <v>1</v>
      </c>
      <c r="G36" s="44">
        <v>3</v>
      </c>
      <c r="H36" s="47">
        <v>46258</v>
      </c>
      <c r="I36" s="48">
        <f>IF(AND(H36&lt;&gt;"",J36&lt;&gt;""),H36+J36,"")</f>
        <v>46259</v>
      </c>
      <c r="J36" s="44">
        <v>1</v>
      </c>
      <c r="K36" s="49">
        <v>1</v>
      </c>
      <c r="L36" s="44" t="str">
        <f>IF(K36=1,"Completado",IF(K36=0.9,"Falta LH",IF(K36=0,"Pendiente","En Proceso")))</f>
        <v>Completado</v>
      </c>
      <c r="M36" s="40" t="str">
        <f>IF(K36=1,"Operativa",IF(K36=0,"Pendiente","En Proceso"))</f>
        <v>Operativa</v>
      </c>
    </row>
    <row r="37" spans="1:13" ht="18" customHeight="1">
      <c r="A37" s="50" t="s">
        <v>144</v>
      </c>
      <c r="B37" s="50">
        <v>87</v>
      </c>
      <c r="C37" s="51" t="s">
        <v>145</v>
      </c>
      <c r="D37" s="50">
        <v>2</v>
      </c>
      <c r="E37" s="46">
        <f>(F37+G37)</f>
        <v>8</v>
      </c>
      <c r="F37" s="50">
        <v>1</v>
      </c>
      <c r="G37" s="50">
        <v>7</v>
      </c>
      <c r="H37" s="47">
        <v>46262</v>
      </c>
      <c r="I37" s="48">
        <f>IF(AND(H37&lt;&gt;"",J37&lt;&gt;""),H37+J37,"")</f>
        <v>46263</v>
      </c>
      <c r="J37" s="50">
        <v>1</v>
      </c>
      <c r="K37" s="49">
        <v>0.9</v>
      </c>
      <c r="L37" s="44" t="str">
        <f>IF(K37=1,"Completado",IF(K37=0.9,"Falta LH",IF(K37=0,"Pendiente","En Proceso")))</f>
        <v>Falta LH</v>
      </c>
      <c r="M37" s="40" t="str">
        <f>IF(K37=1,"Operativa",IF(K37=0,"Pendiente","En Proceso"))</f>
        <v>En Proceso</v>
      </c>
    </row>
    <row r="38" spans="1:13" ht="18" customHeight="1">
      <c r="A38" s="50" t="s">
        <v>146</v>
      </c>
      <c r="B38" s="44">
        <v>88</v>
      </c>
      <c r="C38" s="45" t="s">
        <v>145</v>
      </c>
      <c r="D38" s="44"/>
      <c r="E38" s="46">
        <f>(F38+G38)</f>
        <v>3</v>
      </c>
      <c r="F38" s="44">
        <v>1</v>
      </c>
      <c r="G38" s="44">
        <v>2</v>
      </c>
      <c r="H38" s="47">
        <v>46262</v>
      </c>
      <c r="I38" s="48">
        <f>IF(AND(H38&lt;&gt;"",J38&lt;&gt;""),H38+J38,"")</f>
        <v>46263</v>
      </c>
      <c r="J38" s="44">
        <v>1</v>
      </c>
      <c r="K38" s="49">
        <v>0.9</v>
      </c>
      <c r="L38" s="44" t="str">
        <f>IF(K38=1,"Completado",IF(K38=0.9,"Falta LH",IF(K38=0,"Pendiente","En Proceso")))</f>
        <v>Falta LH</v>
      </c>
      <c r="M38" s="40" t="str">
        <f>IF(K38=1,"Operativa",IF(K38=0,"Pendiente","En Proceso"))</f>
        <v>En Proceso</v>
      </c>
    </row>
    <row r="39" spans="1:13" ht="18" customHeight="1">
      <c r="A39" s="50" t="s">
        <v>147</v>
      </c>
      <c r="B39" s="50">
        <v>84</v>
      </c>
      <c r="C39" s="51" t="s">
        <v>148</v>
      </c>
      <c r="D39" s="50"/>
      <c r="E39" s="46">
        <f>(F39+G39)</f>
        <v>4</v>
      </c>
      <c r="F39" s="50">
        <v>1</v>
      </c>
      <c r="G39" s="50">
        <v>3</v>
      </c>
      <c r="H39" s="47"/>
      <c r="I39" s="48" t="str">
        <f>IF(AND(H39&lt;&gt;"",J39&lt;&gt;""),H39+J39,"")</f>
        <v/>
      </c>
      <c r="J39" s="50">
        <v>1</v>
      </c>
      <c r="K39" s="49">
        <v>0</v>
      </c>
      <c r="L39" s="44" t="str">
        <f>IF(K39=1,"Completado",IF(K39=0.9,"Falta LH",IF(K39=0,"Pendiente","En Proceso")))</f>
        <v>Pendiente</v>
      </c>
      <c r="M39" s="40" t="str">
        <f>IF(K39=1,"Operativa",IF(K39=0,"Pendiente","En Proceso"))</f>
        <v>Pendiente</v>
      </c>
    </row>
    <row r="40" spans="1:13" ht="18" customHeight="1">
      <c r="A40" s="50" t="s">
        <v>149</v>
      </c>
      <c r="B40" s="44">
        <v>85</v>
      </c>
      <c r="C40" s="45" t="s">
        <v>148</v>
      </c>
      <c r="D40" s="44"/>
      <c r="E40" s="46">
        <f>(F40+G40)</f>
        <v>6</v>
      </c>
      <c r="F40" s="44">
        <v>1</v>
      </c>
      <c r="G40" s="44">
        <v>5</v>
      </c>
      <c r="H40" s="47"/>
      <c r="I40" s="48" t="str">
        <f>IF(AND(H40&lt;&gt;"",J40&lt;&gt;""),H40+J40,"")</f>
        <v/>
      </c>
      <c r="J40" s="44">
        <v>1</v>
      </c>
      <c r="K40" s="49">
        <v>0</v>
      </c>
      <c r="L40" s="44" t="str">
        <f>IF(K40=1,"Completado",IF(K40=0.9,"Falta LH",IF(K40=0,"Pendiente","En Proceso")))</f>
        <v>Pendiente</v>
      </c>
      <c r="M40" s="40" t="str">
        <f>IF(K40=1,"Operativa",IF(K40=0,"Pendiente","En Proceso"))</f>
        <v>Pendiente</v>
      </c>
    </row>
    <row r="41" spans="1:13" ht="18" customHeight="1">
      <c r="A41" s="50" t="s">
        <v>150</v>
      </c>
      <c r="B41" s="50">
        <v>71</v>
      </c>
      <c r="C41" s="51" t="s">
        <v>151</v>
      </c>
      <c r="D41" s="50"/>
      <c r="E41" s="46">
        <f>(F41+G41)</f>
        <v>3</v>
      </c>
      <c r="F41" s="50">
        <v>1</v>
      </c>
      <c r="G41" s="50">
        <v>2</v>
      </c>
      <c r="H41" s="47">
        <v>46261</v>
      </c>
      <c r="I41" s="48">
        <f>IF(AND(H41&lt;&gt;"",J41&lt;&gt;""),H41+J41,"")</f>
        <v>46262</v>
      </c>
      <c r="J41" s="50">
        <v>1</v>
      </c>
      <c r="K41" s="49">
        <v>0.9</v>
      </c>
      <c r="L41" s="44" t="str">
        <f>IF(K41=1,"Completado",IF(K41=0.9,"Falta LH",IF(K41=0,"Pendiente","En Proceso")))</f>
        <v>Falta LH</v>
      </c>
      <c r="M41" s="40" t="str">
        <f>IF(K41=1,"Operativa",IF(K41=0,"Pendiente","En Proceso"))</f>
        <v>En Proceso</v>
      </c>
    </row>
    <row r="42" spans="1:13" ht="18" customHeight="1">
      <c r="A42" s="50" t="s">
        <v>152</v>
      </c>
      <c r="B42" s="44">
        <v>31</v>
      </c>
      <c r="C42" s="45" t="s">
        <v>153</v>
      </c>
      <c r="D42" s="44"/>
      <c r="E42" s="46">
        <f>(F42+G42)</f>
        <v>29</v>
      </c>
      <c r="F42" s="44">
        <v>2</v>
      </c>
      <c r="G42" s="44">
        <v>27</v>
      </c>
      <c r="H42" s="47">
        <v>46266</v>
      </c>
      <c r="I42" s="48">
        <f>IF(AND(H42&lt;&gt;"",J42&lt;&gt;""),H42+J42,"")</f>
        <v>46267</v>
      </c>
      <c r="J42" s="44">
        <v>1</v>
      </c>
      <c r="K42" s="49">
        <v>1</v>
      </c>
      <c r="L42" s="44" t="str">
        <f>IF(K42=1,"Completado",IF(K42=0.9,"Falta LH",IF(K42=0,"Pendiente","En Proceso")))</f>
        <v>Completado</v>
      </c>
      <c r="M42" s="40" t="str">
        <f>IF(K42=1,"Operativa",IF(K42=0,"Pendiente","En Proceso"))</f>
        <v>Operativa</v>
      </c>
    </row>
    <row r="43" spans="1:13" ht="18" customHeight="1">
      <c r="A43" s="50" t="s">
        <v>154</v>
      </c>
      <c r="B43" s="50">
        <v>32</v>
      </c>
      <c r="C43" s="51" t="s">
        <v>153</v>
      </c>
      <c r="D43" s="50"/>
      <c r="E43" s="46">
        <f>(F43+G43)</f>
        <v>8</v>
      </c>
      <c r="F43" s="50">
        <v>1</v>
      </c>
      <c r="G43" s="50">
        <v>7</v>
      </c>
      <c r="H43" s="47"/>
      <c r="I43" s="48" t="str">
        <f>IF(AND(H43&lt;&gt;"",J43&lt;&gt;""),H43+J43,"")</f>
        <v/>
      </c>
      <c r="J43" s="50">
        <v>1</v>
      </c>
      <c r="K43" s="49">
        <v>0</v>
      </c>
      <c r="L43" s="44" t="str">
        <f>IF(K43=1,"Completado",IF(K43=0.9,"Falta LH",IF(K43=0,"Pendiente","En Proceso")))</f>
        <v>Pendiente</v>
      </c>
      <c r="M43" s="40" t="str">
        <f>IF(K43=1,"Operativa",IF(K43=0,"Pendiente","En Proceso"))</f>
        <v>Pendiente</v>
      </c>
    </row>
    <row r="44" spans="1:13" ht="18" customHeight="1">
      <c r="A44" s="50" t="s">
        <v>155</v>
      </c>
      <c r="B44" s="44">
        <v>33</v>
      </c>
      <c r="C44" s="45" t="s">
        <v>153</v>
      </c>
      <c r="D44" s="44"/>
      <c r="E44" s="46">
        <f>(F44+G44)</f>
        <v>2</v>
      </c>
      <c r="F44" s="44">
        <v>1</v>
      </c>
      <c r="G44" s="44">
        <v>1</v>
      </c>
      <c r="H44" s="47"/>
      <c r="I44" s="48" t="str">
        <f>IF(AND(H44&lt;&gt;"",J44&lt;&gt;""),H44+J44,"")</f>
        <v/>
      </c>
      <c r="J44" s="44">
        <v>1</v>
      </c>
      <c r="K44" s="49">
        <v>0</v>
      </c>
      <c r="L44" s="44" t="str">
        <f>IF(K44=1,"Completado",IF(K44=0.9,"Falta LH",IF(K44=0,"Pendiente","En Proceso")))</f>
        <v>Pendiente</v>
      </c>
      <c r="M44" s="40" t="str">
        <f>IF(K44=1,"Operativa",IF(K44=0,"Pendiente","En Proceso"))</f>
        <v>Pendiente</v>
      </c>
    </row>
    <row r="45" spans="1:13" ht="18" customHeight="1">
      <c r="A45" s="50" t="s">
        <v>156</v>
      </c>
      <c r="B45" s="50">
        <v>39</v>
      </c>
      <c r="C45" s="51" t="s">
        <v>153</v>
      </c>
      <c r="D45" s="50">
        <v>8</v>
      </c>
      <c r="E45" s="46">
        <f>(F45+G45)</f>
        <v>8</v>
      </c>
      <c r="F45" s="50">
        <v>1</v>
      </c>
      <c r="G45" s="50">
        <v>7</v>
      </c>
      <c r="H45" s="47"/>
      <c r="I45" s="48" t="str">
        <f>IF(AND(H45&lt;&gt;"",J45&lt;&gt;""),H45+J45,"")</f>
        <v/>
      </c>
      <c r="J45" s="50">
        <v>1</v>
      </c>
      <c r="K45" s="49">
        <v>0</v>
      </c>
      <c r="L45" s="44" t="str">
        <f>IF(K45=1,"Completado",IF(K45=0.9,"Falta LH",IF(K45=0,"Pendiente","En Proceso")))</f>
        <v>Pendiente</v>
      </c>
      <c r="M45" s="40" t="str">
        <f>IF(K45=1,"Operativa",IF(K45=0,"Pendiente","En Proceso"))</f>
        <v>Pendiente</v>
      </c>
    </row>
    <row r="46" spans="1:13" ht="18" customHeight="1">
      <c r="A46" s="50" t="s">
        <v>157</v>
      </c>
      <c r="B46" s="44">
        <v>41</v>
      </c>
      <c r="C46" s="45" t="s">
        <v>153</v>
      </c>
      <c r="D46" s="44"/>
      <c r="E46" s="46">
        <f>(F46+G46)</f>
        <v>3</v>
      </c>
      <c r="F46" s="44">
        <v>1</v>
      </c>
      <c r="G46" s="44">
        <v>2</v>
      </c>
      <c r="H46" s="47"/>
      <c r="I46" s="48" t="str">
        <f>IF(AND(H46&lt;&gt;"",J46&lt;&gt;""),H46+J46,"")</f>
        <v/>
      </c>
      <c r="J46" s="44">
        <v>1</v>
      </c>
      <c r="K46" s="49">
        <v>0</v>
      </c>
      <c r="L46" s="44" t="str">
        <f>IF(K46=1,"Completado",IF(K46=0.9,"Falta LH",IF(K46=0,"Pendiente","En Proceso")))</f>
        <v>Pendiente</v>
      </c>
      <c r="M46" s="40" t="str">
        <f>IF(K46=1,"Operativa",IF(K46=0,"Pendiente","En Proceso"))</f>
        <v>Pendiente</v>
      </c>
    </row>
    <row r="47" spans="1:13" ht="18" customHeight="1">
      <c r="A47" s="50" t="s">
        <v>158</v>
      </c>
      <c r="B47" s="50">
        <v>45</v>
      </c>
      <c r="C47" s="51" t="s">
        <v>153</v>
      </c>
      <c r="D47" s="50"/>
      <c r="E47" s="46">
        <f>(F47+G47)</f>
        <v>2</v>
      </c>
      <c r="F47" s="50">
        <v>1</v>
      </c>
      <c r="G47" s="50">
        <v>1</v>
      </c>
      <c r="H47" s="47"/>
      <c r="I47" s="48" t="str">
        <f>IF(AND(H47&lt;&gt;"",J47&lt;&gt;""),H47+J47,"")</f>
        <v/>
      </c>
      <c r="J47" s="50">
        <v>1</v>
      </c>
      <c r="K47" s="49">
        <v>0</v>
      </c>
      <c r="L47" s="44" t="str">
        <f>IF(K47=1,"Completado",IF(K47=0.9,"Falta LH",IF(K47=0,"Pendiente","En Proceso")))</f>
        <v>Pendiente</v>
      </c>
      <c r="M47" s="40" t="str">
        <f>IF(K47=1,"Operativa",IF(K47=0,"Pendiente","En Proceso"))</f>
        <v>Pendiente</v>
      </c>
    </row>
    <row r="48" spans="1:13" ht="18" customHeight="1">
      <c r="A48" s="50" t="s">
        <v>159</v>
      </c>
      <c r="B48" s="44">
        <v>98</v>
      </c>
      <c r="C48" s="45" t="s">
        <v>153</v>
      </c>
      <c r="D48" s="44"/>
      <c r="E48" s="46">
        <f>(F48+G48)</f>
        <v>4</v>
      </c>
      <c r="F48" s="44">
        <v>2</v>
      </c>
      <c r="G48" s="44">
        <v>2</v>
      </c>
      <c r="H48" s="47"/>
      <c r="I48" s="48" t="str">
        <f>IF(AND(H48&lt;&gt;"",J48&lt;&gt;""),H48+J48,"")</f>
        <v/>
      </c>
      <c r="J48" s="44">
        <v>1</v>
      </c>
      <c r="K48" s="49">
        <v>0</v>
      </c>
      <c r="L48" s="44" t="str">
        <f>IF(K48=1,"Completado",IF(K48=0.9,"Falta LH",IF(K48=0,"Pendiente","En Proceso")))</f>
        <v>Pendiente</v>
      </c>
      <c r="M48" s="40" t="str">
        <f>IF(K48=1,"Operativa",IF(K48=0,"Pendiente","En Proceso"))</f>
        <v>Pendiente</v>
      </c>
    </row>
    <row r="49" spans="1:13" ht="18" customHeight="1">
      <c r="A49" s="50" t="s">
        <v>160</v>
      </c>
      <c r="B49" s="50">
        <v>99</v>
      </c>
      <c r="C49" s="51" t="s">
        <v>153</v>
      </c>
      <c r="D49" s="50"/>
      <c r="E49" s="46">
        <f>(F49+G49)</f>
        <v>3</v>
      </c>
      <c r="F49" s="50">
        <v>1</v>
      </c>
      <c r="G49" s="50">
        <v>2</v>
      </c>
      <c r="H49" s="47"/>
      <c r="I49" s="48" t="str">
        <f>IF(AND(H49&lt;&gt;"",J49&lt;&gt;""),H49+J49,"")</f>
        <v/>
      </c>
      <c r="J49" s="50">
        <v>1</v>
      </c>
      <c r="K49" s="49">
        <v>0</v>
      </c>
      <c r="L49" s="44" t="str">
        <f>IF(K49=1,"Completado",IF(K49=0.9,"Falta LH",IF(K49=0,"Pendiente","En Proceso")))</f>
        <v>Pendiente</v>
      </c>
      <c r="M49" s="40" t="str">
        <f>IF(K49=1,"Operativa",IF(K49=0,"Pendiente","En Proceso"))</f>
        <v>Pendiente</v>
      </c>
    </row>
    <row r="50" spans="1:13" ht="18" customHeight="1">
      <c r="A50" s="50" t="s">
        <v>161</v>
      </c>
      <c r="B50" s="44">
        <v>112</v>
      </c>
      <c r="C50" s="45" t="s">
        <v>153</v>
      </c>
      <c r="D50" s="44"/>
      <c r="E50" s="46">
        <f>(F50+G50)</f>
        <v>4</v>
      </c>
      <c r="F50" s="44">
        <v>1</v>
      </c>
      <c r="G50" s="44">
        <v>3</v>
      </c>
      <c r="H50" s="47"/>
      <c r="I50" s="48" t="str">
        <f>IF(AND(H50&lt;&gt;"",J50&lt;&gt;""),H50+J50,"")</f>
        <v/>
      </c>
      <c r="J50" s="44">
        <v>1</v>
      </c>
      <c r="K50" s="49">
        <v>0</v>
      </c>
      <c r="L50" s="44" t="str">
        <f>IF(K50=1,"Completado",IF(K50=0.9,"Falta LH",IF(K50=0,"Pendiente","En Proceso")))</f>
        <v>Pendiente</v>
      </c>
      <c r="M50" s="40" t="str">
        <f>IF(K50=1,"Operativa",IF(K50=0,"Pendiente","En Proceso"))</f>
        <v>Pendiente</v>
      </c>
    </row>
    <row r="51" spans="1:13" ht="18" customHeight="1">
      <c r="A51" s="50" t="s">
        <v>162</v>
      </c>
      <c r="B51" s="50">
        <v>114</v>
      </c>
      <c r="C51" s="51" t="s">
        <v>153</v>
      </c>
      <c r="D51" s="50"/>
      <c r="E51" s="46">
        <f>(F51+G51)</f>
        <v>2</v>
      </c>
      <c r="F51" s="50">
        <v>1</v>
      </c>
      <c r="G51" s="50">
        <v>1</v>
      </c>
      <c r="H51" s="47"/>
      <c r="I51" s="48" t="str">
        <f>IF(AND(H51&lt;&gt;"",J51&lt;&gt;""),H51+J51,"")</f>
        <v/>
      </c>
      <c r="J51" s="50">
        <v>1</v>
      </c>
      <c r="K51" s="49">
        <v>0</v>
      </c>
      <c r="L51" s="44" t="str">
        <f>IF(K51=1,"Completado",IF(K51=0.9,"Falta LH",IF(K51=0,"Pendiente","En Proceso")))</f>
        <v>Pendiente</v>
      </c>
      <c r="M51" s="40" t="str">
        <f>IF(K51=1,"Operativa",IF(K51=0,"Pendiente","En Proceso"))</f>
        <v>Pendiente</v>
      </c>
    </row>
    <row r="52" spans="1:13" ht="18" customHeight="1">
      <c r="A52" s="50" t="s">
        <v>163</v>
      </c>
      <c r="B52" s="44">
        <v>115</v>
      </c>
      <c r="C52" s="45" t="s">
        <v>153</v>
      </c>
      <c r="D52" s="44"/>
      <c r="E52" s="46">
        <f>(F52+G52)</f>
        <v>2</v>
      </c>
      <c r="F52" s="44">
        <v>1</v>
      </c>
      <c r="G52" s="44">
        <v>1</v>
      </c>
      <c r="H52" s="47"/>
      <c r="I52" s="48" t="str">
        <f>IF(AND(H52&lt;&gt;"",J52&lt;&gt;""),H52+J52,"")</f>
        <v/>
      </c>
      <c r="J52" s="44">
        <v>1</v>
      </c>
      <c r="K52" s="49">
        <v>0</v>
      </c>
      <c r="L52" s="44" t="str">
        <f>IF(K52=1,"Completado",IF(K52=0.9,"Falta LH",IF(K52=0,"Pendiente","En Proceso")))</f>
        <v>Pendiente</v>
      </c>
      <c r="M52" s="40" t="str">
        <f>IF(K52=1,"Operativa",IF(K52=0,"Pendiente","En Proceso"))</f>
        <v>Pendiente</v>
      </c>
    </row>
    <row r="53" spans="1:13" ht="18" customHeight="1">
      <c r="A53" s="50" t="s">
        <v>164</v>
      </c>
      <c r="B53" s="50">
        <v>76</v>
      </c>
      <c r="C53" s="51" t="s">
        <v>165</v>
      </c>
      <c r="D53" s="50">
        <v>1</v>
      </c>
      <c r="E53" s="46">
        <f>(F53+G53)</f>
        <v>2</v>
      </c>
      <c r="F53" s="50">
        <v>1</v>
      </c>
      <c r="G53" s="50">
        <v>1</v>
      </c>
      <c r="H53" s="47"/>
      <c r="I53" s="48" t="str">
        <f>IF(AND(H53&lt;&gt;"",J53&lt;&gt;""),H53+J53,"")</f>
        <v/>
      </c>
      <c r="J53" s="50">
        <v>1</v>
      </c>
      <c r="K53" s="49">
        <v>0</v>
      </c>
      <c r="L53" s="44" t="str">
        <f>IF(K53=1,"Completado",IF(K53=0.9,"Falta LH",IF(K53=0,"Pendiente","En Proceso")))</f>
        <v>Pendiente</v>
      </c>
      <c r="M53" s="40" t="str">
        <f>IF(K53=1,"Operativa",IF(K53=0,"Pendiente","En Proceso"))</f>
        <v>Pendiente</v>
      </c>
    </row>
    <row r="54" spans="1:13" ht="18" customHeight="1">
      <c r="A54" s="50" t="s">
        <v>166</v>
      </c>
      <c r="B54" s="44">
        <v>67</v>
      </c>
      <c r="C54" s="45" t="s">
        <v>167</v>
      </c>
      <c r="D54" s="44"/>
      <c r="E54" s="46">
        <f>(F54+G54)</f>
        <v>2</v>
      </c>
      <c r="F54" s="44">
        <v>1</v>
      </c>
      <c r="G54" s="44">
        <v>1</v>
      </c>
      <c r="H54" s="47"/>
      <c r="I54" s="48" t="str">
        <f>IF(AND(H54&lt;&gt;"",J54&lt;&gt;""),H54+J54,"")</f>
        <v/>
      </c>
      <c r="J54" s="44">
        <v>1</v>
      </c>
      <c r="K54" s="49">
        <v>0</v>
      </c>
      <c r="L54" s="44" t="str">
        <f>IF(K54=1,"Completado",IF(K54=0.9,"Falta LH",IF(K54=0,"Pendiente","En Proceso")))</f>
        <v>Pendiente</v>
      </c>
      <c r="M54" s="40" t="str">
        <f>IF(K54=1,"Operativa",IF(K54=0,"Pendiente","En Proceso"))</f>
        <v>Pendiente</v>
      </c>
    </row>
    <row r="55" spans="1:13" ht="18" customHeight="1">
      <c r="A55" s="50" t="s">
        <v>168</v>
      </c>
      <c r="B55" s="50">
        <v>118</v>
      </c>
      <c r="C55" s="51" t="s">
        <v>167</v>
      </c>
      <c r="D55" s="50">
        <v>1</v>
      </c>
      <c r="E55" s="46">
        <f>(F55+G55)</f>
        <v>3</v>
      </c>
      <c r="F55" s="50">
        <v>1</v>
      </c>
      <c r="G55" s="50">
        <v>2</v>
      </c>
      <c r="H55" s="47"/>
      <c r="I55" s="48" t="str">
        <f>IF(AND(H55&lt;&gt;"",J55&lt;&gt;""),H55+J55,"")</f>
        <v/>
      </c>
      <c r="J55" s="50">
        <v>1</v>
      </c>
      <c r="K55" s="49">
        <v>0</v>
      </c>
      <c r="L55" s="44" t="str">
        <f>IF(K55=1,"Completado",IF(K55=0.9,"Falta LH",IF(K55=0,"Pendiente","En Proceso")))</f>
        <v>Pendiente</v>
      </c>
      <c r="M55" s="40" t="str">
        <f>IF(K55=1,"Operativa",IF(K55=0,"Pendiente","En Proceso"))</f>
        <v>Pendiente</v>
      </c>
    </row>
    <row r="56" spans="1:13" ht="18" customHeight="1">
      <c r="A56" s="50" t="s">
        <v>169</v>
      </c>
      <c r="B56" s="44">
        <v>133</v>
      </c>
      <c r="C56" s="45" t="s">
        <v>167</v>
      </c>
      <c r="D56" s="44"/>
      <c r="E56" s="46">
        <f>(F56+G56)</f>
        <v>4</v>
      </c>
      <c r="F56" s="44">
        <v>1</v>
      </c>
      <c r="G56" s="44">
        <v>3</v>
      </c>
      <c r="H56" s="47"/>
      <c r="I56" s="48" t="str">
        <f>IF(AND(H56&lt;&gt;"",J56&lt;&gt;""),H56+J56,"")</f>
        <v/>
      </c>
      <c r="J56" s="44">
        <v>1</v>
      </c>
      <c r="K56" s="49">
        <v>0</v>
      </c>
      <c r="L56" s="44" t="str">
        <f>IF(K56=1,"Completado",IF(K56=0.9,"Falta LH",IF(K56=0,"Pendiente","En Proceso")))</f>
        <v>Pendiente</v>
      </c>
      <c r="M56" s="40" t="str">
        <f>IF(K56=1,"Operativa",IF(K56=0,"Pendiente","En Proceso"))</f>
        <v>Pendiente</v>
      </c>
    </row>
    <row r="57" spans="1:13" ht="18" customHeight="1">
      <c r="A57" s="50" t="s">
        <v>170</v>
      </c>
      <c r="B57" s="50">
        <v>101</v>
      </c>
      <c r="C57" s="51" t="s">
        <v>171</v>
      </c>
      <c r="D57" s="50"/>
      <c r="E57" s="46">
        <f>(F57+G57)</f>
        <v>1</v>
      </c>
      <c r="F57" s="50">
        <v>1</v>
      </c>
      <c r="G57" s="50">
        <v>0</v>
      </c>
      <c r="H57" s="47">
        <v>46261</v>
      </c>
      <c r="I57" s="48">
        <f>IF(AND(H57&lt;&gt;"",J57&lt;&gt;""),H57+J57,"")</f>
        <v>46262</v>
      </c>
      <c r="J57" s="50">
        <v>1</v>
      </c>
      <c r="K57" s="49">
        <v>1</v>
      </c>
      <c r="L57" s="44" t="str">
        <f>IF(K57=1,"Completado",IF(K57=0.9,"Falta LH",IF(K57=0,"Pendiente","En Proceso")))</f>
        <v>Completado</v>
      </c>
      <c r="M57" s="40" t="str">
        <f>IF(K57=1,"Operativa",IF(K57=0,"Pendiente","En Proceso"))</f>
        <v>Operativa</v>
      </c>
    </row>
    <row r="58" spans="1:13" ht="18" customHeight="1">
      <c r="A58" s="50" t="s">
        <v>172</v>
      </c>
      <c r="B58" s="44">
        <v>134</v>
      </c>
      <c r="C58" s="45" t="s">
        <v>171</v>
      </c>
      <c r="D58" s="44"/>
      <c r="E58" s="46">
        <f>(F58+G58)</f>
        <v>2</v>
      </c>
      <c r="F58" s="44">
        <v>1</v>
      </c>
      <c r="G58" s="44">
        <v>1</v>
      </c>
      <c r="H58" s="47">
        <v>46261</v>
      </c>
      <c r="I58" s="48">
        <f>IF(AND(H58&lt;&gt;"",J58&lt;&gt;""),H58+J58,"")</f>
        <v>46262</v>
      </c>
      <c r="J58" s="44">
        <v>1</v>
      </c>
      <c r="K58" s="49">
        <v>1</v>
      </c>
      <c r="L58" s="44" t="str">
        <f>IF(K58=1,"Completado",IF(K58=0.9,"Falta LH",IF(K58=0,"Pendiente","En Proceso")))</f>
        <v>Completado</v>
      </c>
      <c r="M58" s="40" t="str">
        <f>IF(K58=1,"Operativa",IF(K58=0,"Pendiente","En Proceso"))</f>
        <v>Operativa</v>
      </c>
    </row>
    <row r="59" spans="1:13" ht="18" customHeight="1">
      <c r="A59" s="50" t="s">
        <v>173</v>
      </c>
      <c r="B59" s="50">
        <v>77</v>
      </c>
      <c r="C59" s="51" t="s">
        <v>174</v>
      </c>
      <c r="D59" s="50">
        <v>1</v>
      </c>
      <c r="E59" s="46">
        <f>(F59+G59)</f>
        <v>3</v>
      </c>
      <c r="F59" s="50">
        <v>1</v>
      </c>
      <c r="G59" s="50">
        <v>2</v>
      </c>
      <c r="H59" s="47">
        <v>46260</v>
      </c>
      <c r="I59" s="48">
        <f>IF(AND(H59&lt;&gt;"",J59&lt;&gt;""),H59+J59,"")</f>
        <v>46261</v>
      </c>
      <c r="J59" s="50">
        <v>1</v>
      </c>
      <c r="K59" s="49">
        <v>0.9</v>
      </c>
      <c r="L59" s="44" t="str">
        <f>IF(K59=1,"Completado",IF(K59=0.9,"Falta LH",IF(K59=0,"Pendiente","En Proceso")))</f>
        <v>Falta LH</v>
      </c>
      <c r="M59" s="40" t="str">
        <f>IF(K59=1,"Operativa",IF(K59=0,"Pendiente","En Proceso"))</f>
        <v>En Proceso</v>
      </c>
    </row>
    <row r="60" spans="1:13" ht="18" customHeight="1">
      <c r="A60" s="50" t="s">
        <v>175</v>
      </c>
      <c r="B60" s="44">
        <v>79</v>
      </c>
      <c r="C60" s="45" t="s">
        <v>176</v>
      </c>
      <c r="D60" s="44">
        <v>1</v>
      </c>
      <c r="E60" s="46">
        <f>(F60+G60)</f>
        <v>5</v>
      </c>
      <c r="F60" s="44">
        <v>1</v>
      </c>
      <c r="G60" s="44">
        <v>4</v>
      </c>
      <c r="H60" s="47">
        <v>46263</v>
      </c>
      <c r="I60" s="48">
        <f>IF(AND(H60&lt;&gt;"",J60&lt;&gt;""),H60+J60,"")</f>
        <v>46264</v>
      </c>
      <c r="J60" s="44">
        <v>1</v>
      </c>
      <c r="K60" s="49">
        <v>0.9</v>
      </c>
      <c r="L60" s="44" t="str">
        <f>IF(K60=1,"Completado",IF(K60=0.9,"Falta LH",IF(K60=0,"Pendiente","En Proceso")))</f>
        <v>Falta LH</v>
      </c>
      <c r="M60" s="40" t="str">
        <f>IF(K60=1,"Operativa",IF(K60=0,"Pendiente","En Proceso"))</f>
        <v>En Proceso</v>
      </c>
    </row>
    <row r="61" spans="1:13" ht="18" customHeight="1">
      <c r="A61" s="50" t="s">
        <v>177</v>
      </c>
      <c r="B61" s="50">
        <v>86</v>
      </c>
      <c r="C61" s="51" t="s">
        <v>178</v>
      </c>
      <c r="D61" s="50"/>
      <c r="E61" s="46">
        <f>(F61+G61)</f>
        <v>1</v>
      </c>
      <c r="F61" s="50">
        <v>1</v>
      </c>
      <c r="G61" s="50">
        <v>0</v>
      </c>
      <c r="H61" s="47">
        <v>46261</v>
      </c>
      <c r="I61" s="48">
        <f>IF(AND(H61&lt;&gt;"",J61&lt;&gt;""),H61+J61,"")</f>
        <v>46262</v>
      </c>
      <c r="J61" s="50">
        <v>1</v>
      </c>
      <c r="K61" s="49">
        <v>0.9</v>
      </c>
      <c r="L61" s="44" t="str">
        <f>IF(K61=1,"Completado",IF(K61=0.9,"Falta LH",IF(K61=0,"Pendiente","En Proceso")))</f>
        <v>Falta LH</v>
      </c>
      <c r="M61" s="40" t="str">
        <f>IF(K61=1,"Operativa",IF(K61=0,"Pendiente","En Proceso"))</f>
        <v>En Proceso</v>
      </c>
    </row>
    <row r="62" spans="1:13" ht="18" customHeight="1">
      <c r="A62" s="50" t="s">
        <v>179</v>
      </c>
      <c r="B62" s="44">
        <v>89</v>
      </c>
      <c r="C62" s="45" t="s">
        <v>180</v>
      </c>
      <c r="D62" s="44">
        <v>1</v>
      </c>
      <c r="E62" s="46">
        <f>(F62+G62)</f>
        <v>3</v>
      </c>
      <c r="F62" s="44">
        <v>1</v>
      </c>
      <c r="G62" s="44">
        <v>2</v>
      </c>
      <c r="H62" s="47"/>
      <c r="I62" s="48" t="str">
        <f>IF(AND(H62&lt;&gt;"",J62&lt;&gt;""),H62+J62,"")</f>
        <v/>
      </c>
      <c r="J62" s="44">
        <v>1</v>
      </c>
      <c r="K62" s="49">
        <v>0</v>
      </c>
      <c r="L62" s="44" t="str">
        <f>IF(K62=1,"Completado",IF(K62=0.9,"Falta LH",IF(K62=0,"Pendiente","En Proceso")))</f>
        <v>Pendiente</v>
      </c>
      <c r="M62" s="40" t="str">
        <f>IF(K62=1,"Operativa",IF(K62=0,"Pendiente","En Proceso"))</f>
        <v>Pendiente</v>
      </c>
    </row>
    <row r="63" spans="1:13" ht="18" customHeight="1">
      <c r="A63" s="50" t="s">
        <v>181</v>
      </c>
      <c r="B63" s="50">
        <v>92</v>
      </c>
      <c r="C63" s="51" t="s">
        <v>182</v>
      </c>
      <c r="D63" s="50">
        <v>2</v>
      </c>
      <c r="E63" s="46">
        <f>(F63+G63)</f>
        <v>6</v>
      </c>
      <c r="F63" s="50">
        <v>1</v>
      </c>
      <c r="G63" s="50">
        <v>5</v>
      </c>
      <c r="H63" s="47"/>
      <c r="I63" s="48" t="str">
        <f>IF(AND(H63&lt;&gt;"",J63&lt;&gt;""),H63+J63,"")</f>
        <v/>
      </c>
      <c r="J63" s="50">
        <v>1</v>
      </c>
      <c r="K63" s="49">
        <v>0</v>
      </c>
      <c r="L63" s="44" t="str">
        <f>IF(K63=1,"Completado",IF(K63=0.9,"Falta LH",IF(K63=0,"Pendiente","En Proceso")))</f>
        <v>Pendiente</v>
      </c>
      <c r="M63" s="40" t="str">
        <f>IF(K63=1,"Operativa",IF(K63=0,"Pendiente","En Proceso"))</f>
        <v>Pendiente</v>
      </c>
    </row>
    <row r="64" spans="1:13" ht="18" customHeight="1">
      <c r="A64" s="50" t="s">
        <v>183</v>
      </c>
      <c r="B64" s="44">
        <v>93</v>
      </c>
      <c r="C64" s="45" t="s">
        <v>182</v>
      </c>
      <c r="D64" s="44"/>
      <c r="E64" s="46">
        <f>(F64+G64)</f>
        <v>13</v>
      </c>
      <c r="F64" s="44">
        <v>1</v>
      </c>
      <c r="G64" s="44">
        <v>12</v>
      </c>
      <c r="H64" s="47"/>
      <c r="I64" s="48" t="str">
        <f>IF(AND(H64&lt;&gt;"",J64&lt;&gt;""),H64+J64,"")</f>
        <v/>
      </c>
      <c r="J64" s="44">
        <v>1</v>
      </c>
      <c r="K64" s="49">
        <v>0</v>
      </c>
      <c r="L64" s="44" t="str">
        <f>IF(K64=1,"Completado",IF(K64=0.9,"Falta LH",IF(K64=0,"Pendiente","En Proceso")))</f>
        <v>Pendiente</v>
      </c>
      <c r="M64" s="40" t="str">
        <f>IF(K64=1,"Operativa",IF(K64=0,"Pendiente","En Proceso"))</f>
        <v>Pendiente</v>
      </c>
    </row>
    <row r="65" spans="1:13" ht="18" customHeight="1">
      <c r="A65" s="50" t="s">
        <v>184</v>
      </c>
      <c r="B65" s="50">
        <v>94</v>
      </c>
      <c r="C65" s="51" t="s">
        <v>185</v>
      </c>
      <c r="D65" s="50"/>
      <c r="E65" s="46">
        <f>(F65+G65)</f>
        <v>5</v>
      </c>
      <c r="F65" s="50">
        <v>1</v>
      </c>
      <c r="G65" s="50">
        <v>4</v>
      </c>
      <c r="H65" s="47"/>
      <c r="I65" s="48" t="str">
        <f>IF(AND(H65&lt;&gt;"",J65&lt;&gt;""),H65+J65,"")</f>
        <v/>
      </c>
      <c r="J65" s="50">
        <v>1</v>
      </c>
      <c r="K65" s="49">
        <v>0</v>
      </c>
      <c r="L65" s="44" t="str">
        <f>IF(K65=1,"Completado",IF(K65=0.9,"Falta LH",IF(K65=0,"Pendiente","En Proceso")))</f>
        <v>Pendiente</v>
      </c>
      <c r="M65" s="40" t="str">
        <f>IF(K65=1,"Operativa",IF(K65=0,"Pendiente","En Proceso"))</f>
        <v>Pendiente</v>
      </c>
    </row>
    <row r="66" spans="1:13" ht="18" customHeight="1">
      <c r="A66" s="50" t="s">
        <v>186</v>
      </c>
      <c r="B66" s="44">
        <v>128</v>
      </c>
      <c r="C66" s="45" t="s">
        <v>185</v>
      </c>
      <c r="D66" s="44">
        <v>1</v>
      </c>
      <c r="E66" s="46">
        <f>(F66+G66)</f>
        <v>3</v>
      </c>
      <c r="F66" s="44">
        <v>1</v>
      </c>
      <c r="G66" s="44">
        <v>2</v>
      </c>
      <c r="H66" s="47"/>
      <c r="I66" s="48" t="str">
        <f>IF(AND(H66&lt;&gt;"",J66&lt;&gt;""),H66+J66,"")</f>
        <v/>
      </c>
      <c r="J66" s="44">
        <v>1</v>
      </c>
      <c r="K66" s="49">
        <v>0</v>
      </c>
      <c r="L66" s="44" t="str">
        <f>IF(K66=1,"Completado",IF(K66=0.9,"Falta LH",IF(K66=0,"Pendiente","En Proceso")))</f>
        <v>Pendiente</v>
      </c>
      <c r="M66" s="40" t="str">
        <f>IF(K66=1,"Operativa",IF(K66=0,"Pendiente","En Proceso"))</f>
        <v>Pendiente</v>
      </c>
    </row>
    <row r="67" spans="1:13" ht="18" customHeight="1">
      <c r="A67" s="50" t="s">
        <v>187</v>
      </c>
      <c r="B67" s="50">
        <v>96</v>
      </c>
      <c r="C67" s="51" t="s">
        <v>188</v>
      </c>
      <c r="D67" s="50">
        <v>1</v>
      </c>
      <c r="E67" s="46">
        <f>(F67+G67)</f>
        <v>4</v>
      </c>
      <c r="F67" s="50">
        <v>1</v>
      </c>
      <c r="G67" s="50">
        <v>3</v>
      </c>
      <c r="H67" s="47"/>
      <c r="I67" s="48" t="str">
        <f>IF(AND(H67&lt;&gt;"",J67&lt;&gt;""),H67+J67,"")</f>
        <v/>
      </c>
      <c r="J67" s="50">
        <v>1</v>
      </c>
      <c r="K67" s="49">
        <v>0</v>
      </c>
      <c r="L67" s="44" t="str">
        <f>IF(K67=1,"Completado",IF(K67=0.9,"Falta LH",IF(K67=0,"Pendiente","En Proceso")))</f>
        <v>Pendiente</v>
      </c>
      <c r="M67" s="40" t="str">
        <f>IF(K67=1,"Operativa",IF(K67=0,"Pendiente","En Proceso"))</f>
        <v>Pendiente</v>
      </c>
    </row>
    <row r="68" spans="1:13" ht="18" customHeight="1">
      <c r="A68" s="50" t="s">
        <v>189</v>
      </c>
      <c r="B68" s="44">
        <v>97</v>
      </c>
      <c r="C68" s="45" t="s">
        <v>190</v>
      </c>
      <c r="D68" s="44">
        <v>1</v>
      </c>
      <c r="E68" s="46">
        <f>(F68+G68)</f>
        <v>3</v>
      </c>
      <c r="F68" s="44">
        <v>1</v>
      </c>
      <c r="G68" s="44">
        <v>2</v>
      </c>
      <c r="H68" s="47"/>
      <c r="I68" s="48" t="str">
        <f>IF(AND(H68&lt;&gt;"",J68&lt;&gt;""),H68+J68,"")</f>
        <v/>
      </c>
      <c r="J68" s="44">
        <v>1</v>
      </c>
      <c r="K68" s="49">
        <v>0</v>
      </c>
      <c r="L68" s="44" t="str">
        <f>IF(K68=1,"Completado",IF(K68=0.9,"Falta LH",IF(K68=0,"Pendiente","En Proceso")))</f>
        <v>Pendiente</v>
      </c>
      <c r="M68" s="40" t="str">
        <f>IF(K68=1,"Operativa",IF(K68=0,"Pendiente","En Proceso"))</f>
        <v>Pendiente</v>
      </c>
    </row>
    <row r="69" spans="1:13" ht="18" customHeight="1">
      <c r="A69" s="50" t="s">
        <v>191</v>
      </c>
      <c r="B69" s="50">
        <v>100</v>
      </c>
      <c r="C69" s="51" t="s">
        <v>192</v>
      </c>
      <c r="D69" s="50">
        <v>2</v>
      </c>
      <c r="E69" s="46">
        <f>(F69+G69)</f>
        <v>10</v>
      </c>
      <c r="F69" s="50">
        <v>1</v>
      </c>
      <c r="G69" s="50">
        <v>9</v>
      </c>
      <c r="H69" s="47"/>
      <c r="I69" s="48" t="str">
        <f>IF(AND(H69&lt;&gt;"",J69&lt;&gt;""),H69+J69,"")</f>
        <v/>
      </c>
      <c r="J69" s="50">
        <v>1</v>
      </c>
      <c r="K69" s="49">
        <v>0</v>
      </c>
      <c r="L69" s="44" t="str">
        <f>IF(K69=1,"Completado",IF(K69=0.9,"Falta LH",IF(K69=0,"Pendiente","En Proceso")))</f>
        <v>Pendiente</v>
      </c>
      <c r="M69" s="40" t="str">
        <f>IF(K69=1,"Operativa",IF(K69=0,"Pendiente","En Proceso"))</f>
        <v>Pendiente</v>
      </c>
    </row>
    <row r="70" spans="1:13" ht="18" customHeight="1">
      <c r="A70" s="50" t="s">
        <v>193</v>
      </c>
      <c r="B70" s="44">
        <v>102</v>
      </c>
      <c r="C70" s="45" t="s">
        <v>194</v>
      </c>
      <c r="D70" s="44">
        <v>1</v>
      </c>
      <c r="E70" s="46">
        <f>(F70+G70)</f>
        <v>3</v>
      </c>
      <c r="F70" s="44">
        <v>1</v>
      </c>
      <c r="G70" s="44">
        <v>2</v>
      </c>
      <c r="H70" s="47">
        <v>46261</v>
      </c>
      <c r="I70" s="48">
        <f>IF(AND(H70&lt;&gt;"",J70&lt;&gt;""),H70+J70,"")</f>
        <v>46262</v>
      </c>
      <c r="J70" s="44">
        <v>1</v>
      </c>
      <c r="K70" s="49">
        <v>1</v>
      </c>
      <c r="L70" s="44" t="str">
        <f>IF(K70=1,"Completado",IF(K70=0.9,"Falta LH",IF(K70=0,"Pendiente","En Proceso")))</f>
        <v>Completado</v>
      </c>
      <c r="M70" s="40" t="str">
        <f>IF(K70=1,"Operativa",IF(K70=0,"Pendiente","En Proceso"))</f>
        <v>Operativa</v>
      </c>
    </row>
    <row r="71" spans="1:13" ht="18" customHeight="1">
      <c r="A71" s="50" t="s">
        <v>195</v>
      </c>
      <c r="B71" s="50">
        <v>104</v>
      </c>
      <c r="C71" s="51" t="s">
        <v>196</v>
      </c>
      <c r="D71" s="50">
        <v>1</v>
      </c>
      <c r="E71" s="46">
        <f>(F71+G71)</f>
        <v>2</v>
      </c>
      <c r="F71" s="50">
        <v>1</v>
      </c>
      <c r="G71" s="50">
        <v>1</v>
      </c>
      <c r="H71" s="47"/>
      <c r="I71" s="48" t="str">
        <f>IF(AND(H71&lt;&gt;"",J71&lt;&gt;""),H71+J71,"")</f>
        <v/>
      </c>
      <c r="J71" s="50">
        <v>1</v>
      </c>
      <c r="K71" s="49">
        <v>0</v>
      </c>
      <c r="L71" s="44" t="str">
        <f>IF(K71=1,"Completado",IF(K71=0.9,"Falta LH",IF(K71=0,"Pendiente","En Proceso")))</f>
        <v>Pendiente</v>
      </c>
      <c r="M71" s="40" t="str">
        <f>IF(K71=1,"Operativa",IF(K71=0,"Pendiente","En Proceso"))</f>
        <v>Pendiente</v>
      </c>
    </row>
    <row r="72" spans="1:13" ht="18" customHeight="1">
      <c r="A72" s="50" t="s">
        <v>197</v>
      </c>
      <c r="B72" s="44">
        <v>125</v>
      </c>
      <c r="C72" s="45" t="s">
        <v>196</v>
      </c>
      <c r="D72" s="44"/>
      <c r="E72" s="46">
        <f>(F72+G72)</f>
        <v>2</v>
      </c>
      <c r="F72" s="44">
        <v>1</v>
      </c>
      <c r="G72" s="44">
        <v>1</v>
      </c>
      <c r="H72" s="47">
        <v>46258</v>
      </c>
      <c r="I72" s="48">
        <f>IF(AND(H72&lt;&gt;"",J72&lt;&gt;""),H72+J72,"")</f>
        <v>46259</v>
      </c>
      <c r="J72" s="44">
        <v>1</v>
      </c>
      <c r="K72" s="49">
        <v>1</v>
      </c>
      <c r="L72" s="44" t="str">
        <f>IF(K72=1,"Completado",IF(K72=0.9,"Falta LH",IF(K72=0,"Pendiente","En Proceso")))</f>
        <v>Completado</v>
      </c>
      <c r="M72" s="40" t="str">
        <f>IF(K72=1,"Operativa",IF(K72=0,"Pendiente","En Proceso"))</f>
        <v>Operativa</v>
      </c>
    </row>
    <row r="73" spans="1:13" ht="18" customHeight="1">
      <c r="A73" s="50" t="s">
        <v>198</v>
      </c>
      <c r="B73" s="50">
        <v>113</v>
      </c>
      <c r="C73" s="51" t="s">
        <v>199</v>
      </c>
      <c r="D73" s="50">
        <v>1</v>
      </c>
      <c r="E73" s="46">
        <f>(F73+G73)</f>
        <v>3</v>
      </c>
      <c r="F73" s="50">
        <v>1</v>
      </c>
      <c r="G73" s="50">
        <v>2</v>
      </c>
      <c r="H73" s="47"/>
      <c r="I73" s="48" t="str">
        <f>IF(AND(H73&lt;&gt;"",J73&lt;&gt;""),H73+J73,"")</f>
        <v/>
      </c>
      <c r="J73" s="50">
        <v>1</v>
      </c>
      <c r="K73" s="49">
        <v>0</v>
      </c>
      <c r="L73" s="44" t="str">
        <f>IF(K73=1,"Completado",IF(K73=0.9,"Falta LH",IF(K73=0,"Pendiente","En Proceso")))</f>
        <v>Pendiente</v>
      </c>
      <c r="M73" s="40" t="str">
        <f>IF(K73=1,"Operativa",IF(K73=0,"Pendiente","En Proceso"))</f>
        <v>Pendiente</v>
      </c>
    </row>
    <row r="74" spans="1:13" ht="18" customHeight="1">
      <c r="A74" s="50" t="s">
        <v>200</v>
      </c>
      <c r="B74" s="44">
        <v>108</v>
      </c>
      <c r="C74" s="45" t="s">
        <v>201</v>
      </c>
      <c r="D74" s="44">
        <v>1</v>
      </c>
      <c r="E74" s="46">
        <f>(F74+G74)</f>
        <v>4</v>
      </c>
      <c r="F74" s="44">
        <v>1</v>
      </c>
      <c r="G74" s="44">
        <v>3</v>
      </c>
      <c r="H74" s="47">
        <v>46246</v>
      </c>
      <c r="I74" s="48">
        <f>IF(AND(H74&lt;&gt;"",J74&lt;&gt;""),H74+J74,"")</f>
        <v>46247</v>
      </c>
      <c r="J74" s="44">
        <v>1</v>
      </c>
      <c r="K74" s="49">
        <v>1</v>
      </c>
      <c r="L74" s="44" t="str">
        <f>IF(K74=1,"Completado",IF(K74=0.9,"Falta LH",IF(K74=0,"Pendiente","En Proceso")))</f>
        <v>Completado</v>
      </c>
      <c r="M74" s="40" t="str">
        <f>IF(K74=1,"Operativa",IF(K74=0,"Pendiente","En Proceso"))</f>
        <v>Operativa</v>
      </c>
    </row>
    <row r="75" spans="1:13" ht="18" customHeight="1">
      <c r="A75" s="50" t="s">
        <v>202</v>
      </c>
      <c r="B75" s="50">
        <v>129</v>
      </c>
      <c r="C75" s="51" t="s">
        <v>201</v>
      </c>
      <c r="D75" s="50"/>
      <c r="E75" s="46">
        <f>(F75+G75)</f>
        <v>4</v>
      </c>
      <c r="F75" s="50">
        <v>1</v>
      </c>
      <c r="G75" s="50">
        <v>3</v>
      </c>
      <c r="H75" s="47">
        <v>46246</v>
      </c>
      <c r="I75" s="48">
        <f>IF(AND(H75&lt;&gt;"",J75&lt;&gt;""),H75+J75,"")</f>
        <v>46247</v>
      </c>
      <c r="J75" s="50">
        <v>1</v>
      </c>
      <c r="K75" s="49">
        <v>1</v>
      </c>
      <c r="L75" s="44" t="str">
        <f>IF(K75=1,"Completado",IF(K75=0.9,"Falta LH",IF(K75=0,"Pendiente","En Proceso")))</f>
        <v>Completado</v>
      </c>
      <c r="M75" s="40" t="str">
        <f>IF(K75=1,"Operativa",IF(K75=0,"Pendiente","En Proceso"))</f>
        <v>Operativa</v>
      </c>
    </row>
    <row r="76" spans="1:13" ht="18" customHeight="1">
      <c r="A76" s="50" t="s">
        <v>203</v>
      </c>
      <c r="B76" s="44">
        <v>124</v>
      </c>
      <c r="C76" s="45" t="s">
        <v>204</v>
      </c>
      <c r="D76" s="44">
        <v>1</v>
      </c>
      <c r="E76" s="46">
        <f>(F76+G76)</f>
        <v>2</v>
      </c>
      <c r="F76" s="44">
        <v>1</v>
      </c>
      <c r="G76" s="44">
        <v>1</v>
      </c>
      <c r="H76" s="47"/>
      <c r="I76" s="48" t="str">
        <f>IF(AND(H76&lt;&gt;"",J76&lt;&gt;""),H76+J76,"")</f>
        <v/>
      </c>
      <c r="J76" s="44">
        <v>1</v>
      </c>
      <c r="K76" s="49">
        <v>0</v>
      </c>
      <c r="L76" s="44" t="str">
        <f>IF(K76=1,"Completado",IF(K76=0.9,"Falta LH",IF(K76=0,"Pendiente","En Proceso")))</f>
        <v>Pendiente</v>
      </c>
      <c r="M76" s="40" t="str">
        <f>IF(K76=1,"Operativa",IF(K76=0,"Pendiente","En Proceso"))</f>
        <v>Pendiente</v>
      </c>
    </row>
    <row r="77" spans="1:13" ht="18" customHeight="1">
      <c r="A77" s="50" t="s">
        <v>205</v>
      </c>
      <c r="B77" s="50">
        <v>127</v>
      </c>
      <c r="C77" s="51" t="s">
        <v>206</v>
      </c>
      <c r="D77" s="50">
        <v>1</v>
      </c>
      <c r="E77" s="46">
        <f>(F77+G77)</f>
        <v>2</v>
      </c>
      <c r="F77" s="50">
        <v>1</v>
      </c>
      <c r="G77" s="50">
        <v>1</v>
      </c>
      <c r="H77" s="47">
        <v>46263</v>
      </c>
      <c r="I77" s="48">
        <f>IF(AND(H77&lt;&gt;"",J77&lt;&gt;""),H77+J77,"")</f>
        <v>46264</v>
      </c>
      <c r="J77" s="50">
        <v>1</v>
      </c>
      <c r="K77" s="49">
        <v>0.9</v>
      </c>
      <c r="L77" s="44" t="str">
        <f>IF(K77=1,"Completado",IF(K77=0.9,"Falta LH",IF(K77=0,"Pendiente","En Proceso")))</f>
        <v>Falta LH</v>
      </c>
      <c r="M77" s="40" t="str">
        <f>IF(K77=1,"Operativa",IF(K77=0,"Pendiente","En Proceso"))</f>
        <v>En Proceso</v>
      </c>
    </row>
    <row r="79" spans="1:13" ht="21.75" customHeight="1">
      <c r="A79" s="12" t="s">
        <v>56</v>
      </c>
      <c r="B79" s="12"/>
      <c r="C79" s="12"/>
      <c r="D79" s="12">
        <f>SUM(D5:D77)</f>
        <v>47</v>
      </c>
      <c r="E79" s="12">
        <f>SUM(E5:E77)</f>
        <v>344</v>
      </c>
      <c r="F79" s="12">
        <f>SUM(F5:F77)</f>
        <v>74</v>
      </c>
      <c r="G79" s="12">
        <f>SUM(G5:G77)</f>
        <v>270</v>
      </c>
      <c r="H79" s="12"/>
      <c r="I79" s="12"/>
      <c r="J79" s="12"/>
      <c r="K79" s="13">
        <f>AVERAGE(K5:K77)</f>
        <v>0.34583333333333333</v>
      </c>
      <c r="L79" s="12"/>
      <c r="M79" s="12"/>
    </row>
  </sheetData>
  <mergeCells count="3">
    <mergeCell ref="A1:E1"/>
    <mergeCell ref="O1:AK1"/>
    <mergeCell ref="O2:Q3"/>
  </mergeCells>
  <conditionalFormatting sqref="L5:L77">
    <cfRule type="expression" dxfId="6" priority="2">
      <formula>L5="Completado"</formula>
    </cfRule>
    <cfRule type="expression" dxfId="5" priority="3">
      <formula>L5="Falta LH"</formula>
    </cfRule>
    <cfRule type="expression" dxfId="4" priority="4">
      <formula>L5="En Proceso"</formula>
    </cfRule>
    <cfRule type="expression" dxfId="3" priority="5">
      <formula>L5="Pendiente"</formula>
    </cfRule>
  </conditionalFormatting>
  <conditionalFormatting sqref="M5:M77">
    <cfRule type="expression" dxfId="2" priority="6">
      <formula>M5="Operativa"</formula>
    </cfRule>
    <cfRule type="expression" dxfId="1" priority="7">
      <formula>M5="En Proceso"</formula>
    </cfRule>
    <cfRule type="expression" dxfId="0" priority="8">
      <formula>M5="Pendiente"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faf121-4c36-44da-8be7-7eb20681a8b7" xsi:nil="true"/>
    <lcf76f155ced4ddcb4097134ff3c332f xmlns="484d42ce-3c0a-4ac7-9518-cd695953f07d">
      <Terms xmlns="http://schemas.microsoft.com/office/infopath/2007/PartnerControls"/>
    </lcf76f155ced4ddcb4097134ff3c332f>
    <Fecha xmlns="484d42ce-3c0a-4ac7-9518-cd695953f0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D690925E4B544E99BBE0E692E319D6" ma:contentTypeVersion="16" ma:contentTypeDescription="Crear nuevo documento." ma:contentTypeScope="" ma:versionID="28642aa02c2e789fc5614a7f217c3cd0">
  <xsd:schema xmlns:xsd="http://www.w3.org/2001/XMLSchema" xmlns:xs="http://www.w3.org/2001/XMLSchema" xmlns:p="http://schemas.microsoft.com/office/2006/metadata/properties" xmlns:ns2="484d42ce-3c0a-4ac7-9518-cd695953f07d" xmlns:ns3="9cfaf121-4c36-44da-8be7-7eb20681a8b7" targetNamespace="http://schemas.microsoft.com/office/2006/metadata/properties" ma:root="true" ma:fieldsID="c33ff86c0d46912710f39c6f2414edf0" ns2:_="" ns3:_="">
    <xsd:import namespace="484d42ce-3c0a-4ac7-9518-cd695953f07d"/>
    <xsd:import namespace="9cfaf121-4c36-44da-8be7-7eb20681a8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Fech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d42ce-3c0a-4ac7-9518-cd695953f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f73b79c-1275-4551-97ae-8a6ba9841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echa" ma:index="22" nillable="true" ma:displayName="Fecha" ma:format="DateOnly" ma:hidden="true" ma:internalName="Fecha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faf121-4c36-44da-8be7-7eb20681a8b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  <xsd:element name="TaxCatchAll" ma:index="17" nillable="true" ma:displayName="Taxonomy Catch All Column" ma:hidden="true" ma:list="{1b3ad776-427d-4c6e-b4a2-02b6c8ff4d7e}" ma:internalName="TaxCatchAll" ma:readOnly="false" ma:showField="CatchAllData" ma:web="9cfaf121-4c36-44da-8be7-7eb20681a8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09DD34-61F1-468B-92FA-A0D3D1DD3D16}"/>
</file>

<file path=customXml/itemProps2.xml><?xml version="1.0" encoding="utf-8"?>
<ds:datastoreItem xmlns:ds="http://schemas.openxmlformats.org/officeDocument/2006/customXml" ds:itemID="{8A1A37BD-F90B-444F-8C17-A3953090707F}"/>
</file>

<file path=customXml/itemProps3.xml><?xml version="1.0" encoding="utf-8"?>
<ds:datastoreItem xmlns:ds="http://schemas.openxmlformats.org/officeDocument/2006/customXml" ds:itemID="{76200D87-9CAA-427E-A1A8-CB2EEC4307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Alexis Afonso</cp:lastModifiedBy>
  <cp:revision>0</cp:revision>
  <dcterms:created xsi:type="dcterms:W3CDTF">2026-06-03T12:23:51Z</dcterms:created>
  <dcterms:modified xsi:type="dcterms:W3CDTF">2026-09-02T12:06:35Z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0x010100F9D690925E4B544E99BBE0E692E319D6</vt:lpwstr>
  </property>
  <property fmtid="{D5CDD505-2E9C-101B-9397-08002B2CF9AE}" pid="3" name="MediaServiceImageTags">
    <vt:lpwstr/>
  </property>
</Properties>
</file>